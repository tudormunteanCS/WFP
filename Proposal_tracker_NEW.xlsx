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ThisWorkbook" defaultThemeVersion="166925"/>
  <mc:AlternateContent xmlns:mc="http://schemas.openxmlformats.org/markup-compatibility/2006">
    <mc:Choice Requires="x15">
      <x15ac:absPath xmlns:x15ac="http://schemas.microsoft.com/office/spreadsheetml/2010/11/ac" url="C:\Users\cmarin\OneDrive - ENDAVA\Documents\CE_FY22\Desktop\Dava. X Teme\"/>
    </mc:Choice>
  </mc:AlternateContent>
  <xr:revisionPtr revIDLastSave="0" documentId="13_ncr:1_{505BFAD2-DAAC-4943-8773-E8C096F75413}" xr6:coauthVersionLast="47" xr6:coauthVersionMax="47" xr10:uidLastSave="{00000000-0000-0000-0000-000000000000}"/>
  <bookViews>
    <workbookView xWindow="-28920" yWindow="-3720" windowWidth="29040" windowHeight="15720" xr2:uid="{F655FF36-9310-4642-B3BC-A253AAF63DE8}"/>
  </bookViews>
  <sheets>
    <sheet name="Proposals" sheetId="1" r:id="rId1"/>
    <sheet name="Profile links" sheetId="12" r:id="rId2"/>
    <sheet name="HoDs Matrix" sheetId="8" r:id="rId3"/>
    <sheet name="OBPs" sheetId="6" r:id="rId4"/>
    <sheet name="Drop downs" sheetId="4" r:id="rId5"/>
    <sheet name="Active People Report" sheetId="5" r:id="rId6"/>
    <sheet name="HoDs" sheetId="7" r:id="rId7"/>
  </sheets>
  <externalReferences>
    <externalReference r:id="rId8"/>
  </externalReferences>
  <definedNames>
    <definedName name="_xlnm._FilterDatabase" localSheetId="4" hidden="1">'Drop downs'!$A$1:$E$32</definedName>
    <definedName name="_xlnm._FilterDatabase" localSheetId="6" hidden="1">HoDs!$A$1:$H$61</definedName>
    <definedName name="_xlnm._FilterDatabase" localSheetId="1" hidden="1">'Profile links'!$A$1:$B$8</definedName>
    <definedName name="_xlnm._FilterDatabase" localSheetId="0" hidden="1">Proposals!$A$1:$W$8</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_660b7ca7-52fa-4158-aeef-243a7cb5571d" name="Query1" connection="Query - Query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I3" i="1" l="1"/>
  <c r="I4" i="1"/>
  <c r="I5" i="1"/>
  <c r="I6" i="1"/>
  <c r="I7" i="1"/>
  <c r="I8" i="1"/>
  <c r="I2" i="1"/>
  <c r="H3" i="1"/>
  <c r="H4" i="1"/>
  <c r="H5" i="1"/>
  <c r="H6" i="1"/>
  <c r="H7" i="1"/>
  <c r="H8" i="1"/>
  <c r="H2" i="1"/>
  <c r="E3" i="1"/>
  <c r="E4" i="1"/>
  <c r="E5" i="1"/>
  <c r="E6" i="1"/>
  <c r="E7" i="1"/>
  <c r="E8" i="1"/>
  <c r="E2" i="1"/>
  <c r="D3" i="1"/>
  <c r="D4" i="1"/>
  <c r="D6" i="1"/>
  <c r="D7" i="1"/>
  <c r="D8" i="1"/>
  <c r="D2" i="1"/>
  <c r="C3" i="1"/>
  <c r="C4" i="1"/>
  <c r="C5" i="1"/>
  <c r="C6" i="1"/>
  <c r="C7" i="1"/>
  <c r="C8" i="1"/>
  <c r="C2" i="1"/>
  <c r="B3" i="1"/>
  <c r="B4" i="1"/>
  <c r="B5" i="1"/>
  <c r="B6" i="1"/>
  <c r="B7" i="1"/>
  <c r="B8" i="1"/>
  <c r="B2" i="1"/>
  <c r="M5" i="1" l="1"/>
  <c r="M6" i="1"/>
  <c r="M7" i="1"/>
  <c r="M8" i="1"/>
  <c r="M2" i="1"/>
  <c r="M3" i="1"/>
  <c r="M4" i="1"/>
  <c r="V4" i="1" l="1"/>
  <c r="V3" i="1"/>
  <c r="V2" i="1"/>
  <c r="V8" i="1"/>
  <c r="V7" i="1"/>
  <c r="V6" i="1"/>
  <c r="V5" i="1"/>
  <c r="K4" i="1" l="1"/>
  <c r="L4" i="1"/>
  <c r="N4" i="1"/>
  <c r="K2" i="1"/>
  <c r="L2" i="1"/>
  <c r="N2" i="1"/>
  <c r="K3" i="1"/>
  <c r="L3" i="1"/>
  <c r="N3" i="1"/>
  <c r="N8" i="1"/>
  <c r="K8" i="1"/>
  <c r="N7" i="1"/>
  <c r="K7" i="1"/>
  <c r="N6" i="1"/>
  <c r="K6" i="1"/>
  <c r="N5" i="1"/>
  <c r="K5" i="1"/>
  <c r="L8" i="1"/>
  <c r="L7" i="1"/>
  <c r="L6" i="1"/>
  <c r="L5" i="1"/>
  <c r="F5" i="1"/>
  <c r="F6" i="1"/>
  <c r="F7" i="1"/>
  <c r="F8" i="1"/>
  <c r="F2" i="1"/>
  <c r="F3" i="1"/>
  <c r="F4" i="1"/>
  <c r="G4" i="1" l="1"/>
  <c r="G2" i="1"/>
  <c r="G3" i="1"/>
  <c r="G8" i="1"/>
  <c r="G6" i="1"/>
  <c r="G7" i="1"/>
  <c r="G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tc={E1075781-C82A-4BA3-938D-457ED60FB807}</author>
    <author>tc={D6829B1E-56FC-4C3C-A194-7FD009EF6C2F}</author>
    <author>tc={036FE523-E0E7-46C7-8A86-B9D7C46FB564}</author>
    <author>tc={E2E2B0AB-F1DA-452C-BD17-76963712DBB3}</author>
    <author>tc={C0B14899-3276-47FB-9F26-3F021530FA28}</author>
    <author>tc={D5853346-C4CC-48E2-AF47-BB728066006A}</author>
    <author>tc={5A07D20E-631B-4122-84CB-D6DD747FD4BB}</author>
    <author>tc={D3D1A36D-E2D2-486B-8AAF-F545C978C9B4}</author>
    <author>tc={D283C82B-A1BD-4077-8F48-01D004189312}</author>
    <author>tc={7273BC54-2C5A-480D-A3CE-A58DC2FADC3B}</author>
    <author>tc={B5F4B8C2-9C33-483D-8FB1-787EC9174151}</author>
    <author>tc={40E6786D-A5B1-4971-B141-6339CBFB3285}</author>
    <author>tc={CDB3A158-885A-476C-A471-40B93D6B3B4E}</author>
    <author>tc={B5FA1145-30C8-4085-8EFC-7B043BF4A7A9}</author>
  </authors>
  <commentList>
    <comment ref="A1" authorId="0" shapeId="0" xr:uid="{E1075781-C82A-4BA3-938D-457ED60FB807}">
      <text>
        <t>[Threaded comment]
Your version of Excel allows you to read this threaded comment; however, any edits to it will get removed if the file is opened in a newer version of Excel. Learn more: https://go.microsoft.com/fwlink/?linkid=870924
Comment:
    Mandatory field in both trackers: Proposals &amp; Opps</t>
      </text>
    </comment>
    <comment ref="B1" authorId="1" shapeId="0" xr:uid="{D6829B1E-56FC-4C3C-A194-7FD009EF6C2F}">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Opps tracker</t>
      </text>
    </comment>
    <comment ref="D1" authorId="2" shapeId="0" xr:uid="{036FE523-E0E7-46C7-8A86-B9D7C46FB564}">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Opps tracker</t>
      </text>
    </comment>
    <comment ref="E1" authorId="3" shapeId="0" xr:uid="{E2E2B0AB-F1DA-452C-BD17-76963712DBB3}">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Opps tracker</t>
      </text>
    </comment>
    <comment ref="F1" authorId="4" shapeId="0" xr:uid="{C0B14899-3276-47FB-9F26-3F021530FA28}">
      <text>
        <t xml:space="preserve">[Threaded comment]
Your version of Excel allows you to read this threaded comment; however, any edits to it will get removed if the file is opened in a newer version of Excel. Learn more: https://go.microsoft.com/fwlink/?linkid=870924
Comment:
    No manual Input-Info automatically retrieved from OBPs tab
</t>
      </text>
    </comment>
    <comment ref="G1" authorId="5" shapeId="0" xr:uid="{D5853346-C4CC-48E2-AF47-BB728066006A}">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HoDs tab</t>
      </text>
    </comment>
    <comment ref="H1" authorId="6" shapeId="0" xr:uid="{5A07D20E-631B-4122-84CB-D6DD747FD4BB}">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Opps tracker</t>
      </text>
    </comment>
    <comment ref="I1" authorId="7" shapeId="0" xr:uid="{D3D1A36D-E2D2-486B-8AAF-F545C978C9B4}">
      <text>
        <t xml:space="preserve">[Threaded comment]
Your version of Excel allows you to read this threaded comment; however, any edits to it will get removed if the file is opened in a newer version of Excel. Learn more: https://go.microsoft.com/fwlink/?linkid=870924
Comment:
    No manual Input-Info automatically retrieved from Opps tracker
</t>
      </text>
    </comment>
    <comment ref="J1" authorId="8" shapeId="0" xr:uid="{D283C82B-A1BD-4077-8F48-01D004189312}">
      <text>
        <t>[Threaded comment]
Your version of Excel allows you to read this threaded comment; however, any edits to it will get removed if the file is opened in a newer version of Excel. Learn more: https://go.microsoft.com/fwlink/?linkid=870924
Comment:
    Manual entry-Format name from EWA to be used-Check Active People Report  Tab</t>
      </text>
    </comment>
    <comment ref="K1" authorId="9" shapeId="0" xr:uid="{7273BC54-2C5A-480D-A3CE-A58DC2FADC3B}">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Active People Report tab</t>
      </text>
    </comment>
    <comment ref="L1" authorId="10" shapeId="0" xr:uid="{B5F4B8C2-9C33-483D-8FB1-787EC9174151}">
      <text>
        <t>[Threaded comment]
Your version of Excel allows you to read this threaded comment; however, any edits to it will get removed if the file is opened in a newer version of Excel. Learn more: https://go.microsoft.com/fwlink/?linkid=870924
Comment:
    Manual entry</t>
      </text>
    </comment>
    <comment ref="M1" authorId="11" shapeId="0" xr:uid="{40E6786D-A5B1-4971-B141-6339CBFB3285}">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Active People Report tab</t>
      </text>
    </comment>
    <comment ref="N1" authorId="12" shapeId="0" xr:uid="{CDB3A158-885A-476C-A471-40B93D6B3B4E}">
      <text>
        <t>[Threaded comment]
Your version of Excel allows you to read this threaded comment; however, any edits to it will get removed if the file is opened in a newer version of Excel. Learn more: https://go.microsoft.com/fwlink/?linkid=870924
Comment:
    No manual Input-Info automatically retrieved from Active People Report tab</t>
      </text>
    </comment>
    <comment ref="S1" authorId="13" shapeId="0" xr:uid="{B5FA1145-30C8-4085-8EFC-7B043BF4A7A9}">
      <text>
        <t>[Threaded comment]
Your version of Excel allows you to read this threaded comment; however, any edits to it will get removed if the file is opened in a newer version of Excel. Learn more: https://go.microsoft.com/fwlink/?linkid=870924
Comment:
    Manual entry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tc={02142922-73A6-4510-BF83-1AC64E69E6FB}</author>
  </authors>
  <commentList>
    <comment ref="A1" authorId="0" shapeId="0" xr:uid="{02142922-73A6-4510-BF83-1AC64E69E6FB}">
      <text>
        <t>[Threaded comment]
Your version of Excel allows you to read this threaded comment; however, any edits to it will get removed if the file is opened in a newer version of Excel. Learn more: https://go.microsoft.com/fwlink/?linkid=870924
Comment:
    Manual entry-Format name from EWA to be used-Check Active People Report  Tab</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FF1AAF-4274-4C7E-A429-CB00D9133C5B}" name="Query - Query1" description="Connection to the 'Query1' query in the workbook." type="100" refreshedVersion="8" minRefreshableVersion="5">
    <extLst>
      <ext xmlns:x15="http://schemas.microsoft.com/office/spreadsheetml/2010/11/main" uri="{DE250136-89BD-433C-8126-D09CA5730AF9}">
        <x15:connection id="bfa286ed-d475-4f7f-8496-4f2f8b1ef67c"/>
      </ext>
    </extLst>
  </connection>
  <connection id="2" xr16:uid="{3EC9B699-508F-4384-93C9-56F588E1C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<sst xmlns="http://schemas.openxmlformats.org/spreadsheetml/2006/main" count="854" uniqueCount="321">
  <si>
    <t>Opportunity Name</t>
  </si>
  <si>
    <t>Account</t>
  </si>
  <si>
    <t>Account POC</t>
  </si>
  <si>
    <t>New/Extension</t>
  </si>
  <si>
    <t>Opportunity BP</t>
  </si>
  <si>
    <t>OBP E-mail address</t>
  </si>
  <si>
    <t>Head of Discipline</t>
  </si>
  <si>
    <t>Status of the opportunity</t>
  </si>
  <si>
    <t>WFP SPOC</t>
  </si>
  <si>
    <t>Proposed person name</t>
  </si>
  <si>
    <t>Proposed discipline</t>
  </si>
  <si>
    <t>Proposed person skill</t>
  </si>
  <si>
    <t>Proposed person grade</t>
  </si>
  <si>
    <t>Proposed person location</t>
  </si>
  <si>
    <t>Proposal date</t>
  </si>
  <si>
    <t>Soft Booking date</t>
  </si>
  <si>
    <t>Soft Book Until</t>
  </si>
  <si>
    <t>Number of Soft Books</t>
  </si>
  <si>
    <t>Proposal status</t>
  </si>
  <si>
    <t>Soft Book status</t>
  </si>
  <si>
    <t>Comment</t>
  </si>
  <si>
    <t>Link to profile</t>
  </si>
  <si>
    <t>Availability</t>
  </si>
  <si>
    <t>Rejected - Opp staffed by other candidate</t>
  </si>
  <si>
    <t>Cristian Caius Ando Ciupav</t>
  </si>
  <si>
    <t>Rejected by Account-not a good fit</t>
  </si>
  <si>
    <t>Booked</t>
  </si>
  <si>
    <t>Rejected by OBP</t>
  </si>
  <si>
    <t>Withdrawn - leaver/unavailable</t>
  </si>
  <si>
    <t>Lost - Opp</t>
  </si>
  <si>
    <t>Rejected by Account-failed interview</t>
  </si>
  <si>
    <t>Role not needed/awaiting clarification from the account</t>
  </si>
  <si>
    <t>Development</t>
  </si>
  <si>
    <t>Proposed to OBP</t>
  </si>
  <si>
    <t>TBD</t>
  </si>
  <si>
    <t>Sergiu Ciurca</t>
  </si>
  <si>
    <t>Ciprian Amaritei</t>
  </si>
  <si>
    <t>Proposed to Account</t>
  </si>
  <si>
    <t>Razvan Apostol</t>
  </si>
  <si>
    <t>Creative Services</t>
  </si>
  <si>
    <t>BHD</t>
  </si>
  <si>
    <t>To be proposed</t>
  </si>
  <si>
    <t>Dan Riza</t>
  </si>
  <si>
    <t>Catalin Pisoiu</t>
  </si>
  <si>
    <t>Emanuela Mane</t>
  </si>
  <si>
    <t>Ion Mogosanu</t>
  </si>
  <si>
    <t>Ancuta Georgiana Postolache</t>
  </si>
  <si>
    <t>Confirmed - awaiting booking</t>
  </si>
  <si>
    <t>Liviu Istrate</t>
  </si>
  <si>
    <t>Anca Gemil Draghia</t>
  </si>
  <si>
    <t>RFP involvement</t>
  </si>
  <si>
    <t>Python</t>
  </si>
  <si>
    <t>On hold - Opp</t>
  </si>
  <si>
    <t>Alexandru Mirza-Lesan</t>
  </si>
  <si>
    <t>Java</t>
  </si>
  <si>
    <t>Automation Testing</t>
  </si>
  <si>
    <t>Ciprian David Dogaru</t>
  </si>
  <si>
    <t>Adrian Buturuga</t>
  </si>
  <si>
    <t>Marius Dorinel Harpau</t>
  </si>
  <si>
    <t>Rejected</t>
  </si>
  <si>
    <t>Back-up proposal</t>
  </si>
  <si>
    <t>Andreea Diana Cristei</t>
  </si>
  <si>
    <t>Bogdan Nicusor Ivascu</t>
  </si>
  <si>
    <t>PTD</t>
  </si>
  <si>
    <t>CLD</t>
  </si>
  <si>
    <t>Bogdan Darabaneanu</t>
  </si>
  <si>
    <t>Stefan Dan Radulescu</t>
  </si>
  <si>
    <t>Alin Gabriel Grama</t>
  </si>
  <si>
    <t>TMD</t>
  </si>
  <si>
    <t>Testing</t>
  </si>
  <si>
    <t>Sergiu Ioan Vulc</t>
  </si>
  <si>
    <t>Alexandru Pandi</t>
  </si>
  <si>
    <t>Radu Pinzaru</t>
  </si>
  <si>
    <t>Applications Management</t>
  </si>
  <si>
    <t>Adrian Iacob Matean</t>
  </si>
  <si>
    <t>In progress - interviews/discussions scheduled</t>
  </si>
  <si>
    <t>ISD</t>
  </si>
  <si>
    <t>Not suitable</t>
  </si>
  <si>
    <t>Daniel Munteanu</t>
  </si>
  <si>
    <t>RO.Workforce.Management@endava.com</t>
  </si>
  <si>
    <t>stefan.radulescu@endava.com</t>
  </si>
  <si>
    <t>Andreea.Cristei@endava.com</t>
  </si>
  <si>
    <t>Mihaita Tisu</t>
  </si>
  <si>
    <t>Analysis</t>
  </si>
  <si>
    <t>BVD</t>
  </si>
  <si>
    <t>Petrisor Dima</t>
  </si>
  <si>
    <t>Unavailable</t>
  </si>
  <si>
    <t>Project Delivery Management</t>
  </si>
  <si>
    <t>Adrian.Iancu@endava.com</t>
  </si>
  <si>
    <t>Adrian Petcu</t>
  </si>
  <si>
    <t>adrian.matean@endava.com</t>
  </si>
  <si>
    <t>New</t>
  </si>
  <si>
    <t>Mihai Cojocnean</t>
  </si>
  <si>
    <t>https://endava.sharepoint.com/:w:/s/BWSDocuments/EWnpAGIdPLROqlwMipV9eWYBKrUtdUZ7MHADVQGJzELx8Q?e=pEAx0j</t>
  </si>
  <si>
    <t>https://endava.sharepoint.com/:w:/s/BWSDocuments/Ee20vSqhLZNLuNTMNSjtJ-gBNxi97-jtdwei9xnC46mlKQ?e=6l3knD</t>
  </si>
  <si>
    <t>https://endava.sharepoint.com/:w:/s/BWSDocuments/EWLWxKI6oLZEj8N5NovJb7IBuJZ5T3smOy_1hctBRDL_6Q?e=RiaynJ</t>
  </si>
  <si>
    <t>https://endava.sharepoint.com/:w:/s/BWSDocuments/EQMRHuiaqbVPvjpiuqPkiIIBso1CaOpa2zuZ2f_Is_8gPg?e=MPLy6G</t>
  </si>
  <si>
    <t>https://endava.sharepoint.com/:w:/s/BWSDocuments/ET_oHiTBZcpFhD-KW3kq4y8BYMaRyUjkvjnEgSyEVDNpow?e=poZpNB</t>
  </si>
  <si>
    <t>https://endava.sharepoint.com/:w:/s/BWSDocuments/ETIqS88QEyhBsJonGH7RxhkBV0iSceJzVloXbbC3LYYKfA?e=wTrRTT</t>
  </si>
  <si>
    <t>https://endava.sharepoint.com/:w:/s/BWSDocuments/EaKIbSEe5xFFiOD1UgN1VbEByMY9lRHhJ4cfyraujgzOdA?e=1ywpJn</t>
  </si>
  <si>
    <t>Awaiting response</t>
  </si>
  <si>
    <t>Closed-Lost</t>
  </si>
  <si>
    <t>Closed-Won</t>
  </si>
  <si>
    <t>In progress</t>
  </si>
  <si>
    <t>Initiated</t>
  </si>
  <si>
    <t>On hold</t>
  </si>
  <si>
    <t>Location/Discipline</t>
  </si>
  <si>
    <t>Data</t>
  </si>
  <si>
    <t>Architecture</t>
  </si>
  <si>
    <t>Infrastructure</t>
  </si>
  <si>
    <t>Business Platforms</t>
  </si>
  <si>
    <t>anca.draghia@endava.com ; Petrisor.Dima@endava.com</t>
  </si>
  <si>
    <t>daniel.munteanu@endava.com ; radu.pinzaru@endava.com</t>
  </si>
  <si>
    <t>Ciprian.Amaritei@endava.com</t>
  </si>
  <si>
    <t>octavian.soimu@endava.com ; mihai.cojocnean@endava.com</t>
  </si>
  <si>
    <t>madalina.preda@endava.com ; elena.costea@endava.com</t>
  </si>
  <si>
    <t>marius.harpau@endava.com</t>
  </si>
  <si>
    <t>Andreea.Chiran@endava.com</t>
  </si>
  <si>
    <t>catalin.mircu@endava.com</t>
  </si>
  <si>
    <t xml:space="preserve">Petrisor.Dima@endava.com ; anca.draghia@endava.com </t>
  </si>
  <si>
    <t>radu.pinzaru@endava.com</t>
  </si>
  <si>
    <t>Mihaita.Tisu@endava.com ; mihai.cojocnean@endava.com</t>
  </si>
  <si>
    <t>Alin.Chilian@endava.com ; elena.costea@endava.com</t>
  </si>
  <si>
    <t>cristian.ando@endava.com</t>
  </si>
  <si>
    <t>Pavel.Matu@endava.com ; Mihai.Cojocnean@endava.com</t>
  </si>
  <si>
    <t>catalin.pisoiu@endava.com</t>
  </si>
  <si>
    <t>Petrisor.Dima@endava.com ; anca.draghia@endava.com</t>
  </si>
  <si>
    <t>alin.grama@endava.com ; elena.costea@endava.com</t>
  </si>
  <si>
    <t>ciprian.dogaru@endava.com</t>
  </si>
  <si>
    <t>Aurelia.Despa@endava.com ; mihai.cojocnean@endava.com</t>
  </si>
  <si>
    <t>vlad.vesa@endava.com</t>
  </si>
  <si>
    <t>daniela.paun@endava.com ; anca.draghia@endava.com ; Petrisor.Dima@endava.com</t>
  </si>
  <si>
    <t>Daniela.Bogdan@endava.com ; radu.pinzaru@endava.com</t>
  </si>
  <si>
    <t>mihai.cojocnean@endava.com</t>
  </si>
  <si>
    <t>anca.rarau@endava.com ; elena.costea@endava.com</t>
  </si>
  <si>
    <t>liviu.istrate@endava.com</t>
  </si>
  <si>
    <t>TGD</t>
  </si>
  <si>
    <t>Stefana.Ghetu@endava.com</t>
  </si>
  <si>
    <t>bogdan.darabaneanu@endava.com</t>
  </si>
  <si>
    <t>alexandru.mirza-lesan@endava.com ; anca.draghia@endava.com ; Petrisor.Dima@endava.com</t>
  </si>
  <si>
    <t>ancuta.postolache@endava.com</t>
  </si>
  <si>
    <t>Alexandru.Mirza-Lesan@endava.com; elena.costea@endava.com</t>
  </si>
  <si>
    <t>Cosmin.Sontu@endava.com</t>
  </si>
  <si>
    <t>KFD</t>
  </si>
  <si>
    <t>anca.rarau@endava.com</t>
  </si>
  <si>
    <t>OBP Name</t>
  </si>
  <si>
    <t>Adrian Pironescu</t>
  </si>
  <si>
    <t>adrian.pironescu@endava.com</t>
  </si>
  <si>
    <t>Adrian Serban Iancu</t>
  </si>
  <si>
    <t>Adriana Schiopu</t>
  </si>
  <si>
    <t>adriana.schiopu@endava.com</t>
  </si>
  <si>
    <t>alin.grama@endava.com</t>
  </si>
  <si>
    <t>Anca Rarau</t>
  </si>
  <si>
    <t>bogdan.ivascu@endava.com</t>
  </si>
  <si>
    <t>Calin Constantinov</t>
  </si>
  <si>
    <t>calin.constantinov@endava.com</t>
  </si>
  <si>
    <t>Claudia Ioana Puscas-Pop</t>
  </si>
  <si>
    <t>claudia.tarta@endava.com</t>
  </si>
  <si>
    <t>Daniela Camelia Bogdan</t>
  </si>
  <si>
    <t>Daniela.Bogdan@endava.com</t>
  </si>
  <si>
    <t>Francesco Mario Giovane</t>
  </si>
  <si>
    <t>francesco.giovane@endava.com</t>
  </si>
  <si>
    <t>Iulian Antonovici</t>
  </si>
  <si>
    <t>iulian.antonovici@endava.com</t>
  </si>
  <si>
    <t>Iulian Tatarcan</t>
  </si>
  <si>
    <t>Iulian.Tatarcan@endava.com</t>
  </si>
  <si>
    <t>Madalina Preda</t>
  </si>
  <si>
    <t>madalina.preda@endava.com</t>
  </si>
  <si>
    <t>Ovidiu Mihai Spinean</t>
  </si>
  <si>
    <t>ovidiu.spinean@endava.com</t>
  </si>
  <si>
    <t>Petrisor.Dima@endava.com</t>
  </si>
  <si>
    <t>Razvan.Apostol@endava.com</t>
  </si>
  <si>
    <t>Sergiu Cipcigan</t>
  </si>
  <si>
    <t>sergiu.cipcigan@endava.com</t>
  </si>
  <si>
    <t>sergiu.ciurca@endava.com</t>
  </si>
  <si>
    <t>Svetlana Sirbu</t>
  </si>
  <si>
    <t>Svetlana.Sirbu@endava.com</t>
  </si>
  <si>
    <t>Virgil Sorin Dimitriu</t>
  </si>
  <si>
    <t>virgil.dimitriu@endava.com</t>
  </si>
  <si>
    <t>Vlad Alexandru Vesa</t>
  </si>
  <si>
    <t>Catalin Mircu</t>
  </si>
  <si>
    <t>Catalin.Mircu@endava.com</t>
  </si>
  <si>
    <t>Emanuela.Biro@endava.com</t>
  </si>
  <si>
    <t>Internal</t>
  </si>
  <si>
    <t>Stefana Anca Ghetu</t>
  </si>
  <si>
    <t>Stefan.Radulescu@endava.com</t>
  </si>
  <si>
    <t>Alexandru.Pandi@endava.com</t>
  </si>
  <si>
    <t>Dragos Constantin Puscasu</t>
  </si>
  <si>
    <t>Dragos.Puscasu@endava.com</t>
  </si>
  <si>
    <t>Andreea Chiran</t>
  </si>
  <si>
    <t>anca.draghia@endava.com</t>
  </si>
  <si>
    <t>Elena Costea</t>
  </si>
  <si>
    <t>elena.costea@endava.com</t>
  </si>
  <si>
    <t>adrian.petcu@endava.com</t>
  </si>
  <si>
    <t>Daniela Paun</t>
  </si>
  <si>
    <t>daniela.paun@endava.com</t>
  </si>
  <si>
    <t>daniel.munteanu@endava.com</t>
  </si>
  <si>
    <t>Ioana Negrean</t>
  </si>
  <si>
    <t>Ioana.Negrean@endava.com</t>
  </si>
  <si>
    <t>alexandru.mirza-lesan@endava.com</t>
  </si>
  <si>
    <t>Mihaita.Tisu@endava.com</t>
  </si>
  <si>
    <t>Caius Dumitru Polgar</t>
  </si>
  <si>
    <t>caius.polgar@endava.com</t>
  </si>
  <si>
    <t>sergiu-ioan.vulc@endava.com</t>
  </si>
  <si>
    <t>Octavian Soimu</t>
  </si>
  <si>
    <t>octavian.soimu@endava.com</t>
  </si>
  <si>
    <t>Dabiel Gonzalez Ramos</t>
  </si>
  <si>
    <t>dabiel.ramos@endava.com</t>
  </si>
  <si>
    <t>adrian.buturuga@endava.com</t>
  </si>
  <si>
    <t>dan.riza@endava.com</t>
  </si>
  <si>
    <t>Daniela Mocanu</t>
  </si>
  <si>
    <t>Daniela.Mocanu@endava.com</t>
  </si>
  <si>
    <t>Cosmina Despa</t>
  </si>
  <si>
    <t>aurelia.despa@endava.com</t>
  </si>
  <si>
    <t>Liviu.Istrate@endava.com</t>
  </si>
  <si>
    <t>Ion.Mogosanu@endava.com</t>
  </si>
  <si>
    <t>Loredana Vergea</t>
  </si>
  <si>
    <t>Loredana.Patrascu@endava.com</t>
  </si>
  <si>
    <t>Anca Madalina Baboi</t>
  </si>
  <si>
    <t>Anca-Madalina.Baboi@endava.com</t>
  </si>
  <si>
    <t>Andrada Plesa</t>
  </si>
  <si>
    <t>andrada.plesa@endava.com</t>
  </si>
  <si>
    <t>Simona Makkos</t>
  </si>
  <si>
    <t>simona.makkos@endava.com</t>
  </si>
  <si>
    <t>Mioara Dimov Craciun</t>
  </si>
  <si>
    <t>Mioara.Craciun@endava.com</t>
  </si>
  <si>
    <t>WFM SPOC</t>
  </si>
  <si>
    <t>Proposal status-NEW</t>
  </si>
  <si>
    <t>https://endava.sharepoint.com/sites/RomaniaWFPs/Shared Documents/General/[Ro Opps.xlsm]Other Sources</t>
  </si>
  <si>
    <t>OK</t>
  </si>
  <si>
    <t>Anca Baboi</t>
  </si>
  <si>
    <t>NOK</t>
  </si>
  <si>
    <t>Awaiting role need confirmation</t>
  </si>
  <si>
    <t>Extension</t>
  </si>
  <si>
    <t>RFI/RFP</t>
  </si>
  <si>
    <t>Discovery</t>
  </si>
  <si>
    <t>Cristina Marin</t>
  </si>
  <si>
    <t>Confirmed</t>
  </si>
  <si>
    <t>Cleared Opp</t>
  </si>
  <si>
    <t>Soft Booked</t>
  </si>
  <si>
    <t>https://endava-my.sharepoint.com/personal/simona_makkos_endava_com/Documents/WFP/6.RO Opps meeting/[Ro Opps.xlsx]Other Sources</t>
  </si>
  <si>
    <t>Need was cancelled</t>
  </si>
  <si>
    <t>Not chosen</t>
  </si>
  <si>
    <t>Not fit</t>
  </si>
  <si>
    <t>Opp lost</t>
  </si>
  <si>
    <t>Opp on hold</t>
  </si>
  <si>
    <t>Soft Booked for another account</t>
  </si>
  <si>
    <t>Other candidate was picked</t>
  </si>
  <si>
    <t>Proposed</t>
  </si>
  <si>
    <t>Refused the project</t>
  </si>
  <si>
    <t>Rejected-not a good fit</t>
  </si>
  <si>
    <t>Rejected/Up for a diff position</t>
  </si>
  <si>
    <t>Released</t>
  </si>
  <si>
    <t>Role needs to be clarified</t>
  </si>
  <si>
    <t>Role not needed</t>
  </si>
  <si>
    <t>Role on hold</t>
  </si>
  <si>
    <t>To be booked</t>
  </si>
  <si>
    <t>Withdrawn</t>
  </si>
  <si>
    <t>Not Deployable-future maternity</t>
  </si>
  <si>
    <t>(Do Not Modify) Person</t>
  </si>
  <si>
    <t>(Do Not Modify) Row Checksum</t>
  </si>
  <si>
    <t>(Do Not Modify) Modified On</t>
  </si>
  <si>
    <t>Full Name</t>
  </si>
  <si>
    <t>Email</t>
  </si>
  <si>
    <t>Person Number</t>
  </si>
  <si>
    <t>Region/Sector</t>
  </si>
  <si>
    <t>Current BU</t>
  </si>
  <si>
    <t>Grade</t>
  </si>
  <si>
    <t>Discipline</t>
  </si>
  <si>
    <t>Job Title</t>
  </si>
  <si>
    <t>Main Role</t>
  </si>
  <si>
    <t>Other Skills</t>
  </si>
  <si>
    <t>Has CV</t>
  </si>
  <si>
    <t>CV Last Modified On</t>
  </si>
  <si>
    <t>Language</t>
  </si>
  <si>
    <t>Industry Vertical</t>
  </si>
  <si>
    <t>Sub-Vertical</t>
  </si>
  <si>
    <t>Aspirational Role</t>
  </si>
  <si>
    <t>Presales Experience</t>
  </si>
  <si>
    <t>Joining Date</t>
  </si>
  <si>
    <t>Core Skill</t>
  </si>
  <si>
    <t>CE</t>
  </si>
  <si>
    <t>ML</t>
  </si>
  <si>
    <t>Head of Development (Manager)</t>
  </si>
  <si>
    <t>SM</t>
  </si>
  <si>
    <t>Head of Applications Management (Manager)</t>
  </si>
  <si>
    <t>Head of Project Delivery Management (Manager)</t>
  </si>
  <si>
    <t>Head of Project Delivery Management (Senior Manager)</t>
  </si>
  <si>
    <t>Head of Testing (Senior Manager)</t>
  </si>
  <si>
    <t>.NET</t>
  </si>
  <si>
    <t>Head of Architecture (Manager)</t>
  </si>
  <si>
    <t>Head of Data (Manager)</t>
  </si>
  <si>
    <t>Head of Applications Management (Senior Consultant)</t>
  </si>
  <si>
    <t>Head of Analysis (Manager)</t>
  </si>
  <si>
    <t>Head of Testing (Manager)</t>
  </si>
  <si>
    <t>SC</t>
  </si>
  <si>
    <t>AI/ML</t>
  </si>
  <si>
    <t>Head of Business Platforms (Senior Manager)</t>
  </si>
  <si>
    <t>Andrei Alin Dascalu</t>
  </si>
  <si>
    <t>andrei.dascalu@endava.com</t>
  </si>
  <si>
    <t>Catalin Ioan Mircu</t>
  </si>
  <si>
    <t>Head of Testing (Senior Consultant)</t>
  </si>
  <si>
    <t>Catalin Ovidiu Timofti</t>
  </si>
  <si>
    <t>Catalin.Timofti@endava.com</t>
  </si>
  <si>
    <t>Head of Creative Services (Manager)</t>
  </si>
  <si>
    <t>Head of Analysis (Senior Consultant)</t>
  </si>
  <si>
    <t>Head of Infrastructure (Senior Consultant)</t>
  </si>
  <si>
    <t>Head of Architecture (Senior Manager)</t>
  </si>
  <si>
    <t>Adrian.Pironescu@endava.com</t>
  </si>
  <si>
    <t>PHP Developer</t>
  </si>
  <si>
    <t>New Java Team</t>
  </si>
  <si>
    <t>AB</t>
  </si>
  <si>
    <t>Jane Doe1</t>
  </si>
  <si>
    <t>Jane Doe2</t>
  </si>
  <si>
    <t>Jane Doe3</t>
  </si>
  <si>
    <t>Jane Doe4</t>
  </si>
  <si>
    <t>Jane Doe5</t>
  </si>
  <si>
    <t>Jane Doe6</t>
  </si>
  <si>
    <t>Jane Doe7</t>
  </si>
  <si>
    <t>Jane Doe8</t>
  </si>
  <si>
    <t>Jane Doe9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</si>
</sst>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6" x14ac:knownFonts="1">
    <font>
      <sz val="11"/>
      <color theme="1"/>
      <name val="Calibri"/>
      <family val="2"/>
      <scheme val="minor"/>
    </font>
    <font>
      <b/>
      <sz val="11"/>
      <color theme="0"/>
      <name val="Calibri"/>
      <family val="2"/>
    </font>
    <font>
      <sz val="11"/>
      <name val="Calibri"/>
      <family val="2"/>
    </font>
    <font>
      <b/>
      <sz val="11"/>
      <name val="Calibri"/>
      <family val="2"/>
    </font>
    <font>
      <u/>
      <sz val="11"/>
      <color theme="10"/>
      <name val="Calibri"/>
      <family val="2"/>
      <scheme val="minor"/>
    </font>
    <font>
      <sz val="8"/>
      <name val="Calibri"/>
      <family val="2"/>
      <scheme val="minor"/>
    </font>
    <font>
      <sz val="11"/>
      <name val="Aptos Narrow"/>
      <family val="2"/>
    </font>
    <font>
      <b/>
      <sz val="12"/>
      <color theme="0"/>
      <name val="Calibri"/>
      <family val="2"/>
    </font>
    <font>
      <sz val="11"/>
      <name val="Calibri"/>
      <family val="2"/>
    </font>
    <font>
      <u/>
      <sz val="11"/>
      <color theme="10"/>
      <name val="Calibri"/>
      <family val="2"/>
    </font>
    <font>
      <sz val="11"/>
      <name val="Calibri"/>
      <family val="2"/>
    </font>
    <font>
      <sz val="11"/>
      <name val="Calibri"/>
      <family val="2"/>
    </font>
    <font>
      <sz val="11"/>
      <name val="Calibri"/>
      <family val="2"/>
    </font>
    <font>
      <sz val="11"/>
      <name val="Aptos Narrow"/>
      <family val="2"/>
    </font>
    <font>
      <sz val="11"/>
      <name val="Calibri"/>
      <family val="2"/>
    </font>
    <font>
      <sz val="11"/>
      <name val="Calibri"/>
      <family val="2"/>
    </font>
  </fonts>
  <fills count="13">
    <fill>
      <patternFill patternType="none"/>
    </fill>
    <fill>
      <patternFill patternType="gray125"/>
    </fill>
    <fill>
      <patternFill patternType="solid">
        <fgColor theme="1"/>
        <bgColor theme="4"/>
      </patternFill>
    </fill>
    <fill>
      <patternFill patternType="solid">
        <fgColor rgb="FF92D050"/>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4"/>
        <bgColor theme="4"/>
      </patternFill>
    </fill>
    <fill>
      <patternFill patternType="solid">
        <fgColor rgb="FFFF0000"/>
        <bgColor indexed="64"/>
      </patternFill>
    </fill>
    <fill>
      <patternFill patternType="solid">
        <fgColor rgb="FFFFFF00"/>
        <bgColor indexed="64"/>
      </patternFill>
    </fill>
    <fill>
      <patternFill patternType="solid">
        <fgColor rgb="FFFF0000"/>
        <bgColor theme="4"/>
      </patternFill>
    </fill>
    <fill>
      <patternFill patternType="solid">
        <fgColor theme="1"/>
        <bgColor indexed="64"/>
      </patternFill>
    </fill>
    <fill>
      <patternFill patternType="solid">
        <fgColor rgb="FF00B050"/>
        <bgColor indexed="6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6">
    <xf numFmtId="0" fontId="0" fillId="0" borderId="0"/>
    <xf numFmtId="0" fontId="2" fillId="0" borderId="0"/>
    <xf numFmtId="0" fontId="4" fillId="0" borderId="0" applyNumberFormat="0" applyFill="0" applyBorder="0" applyAlignment="0" applyProtection="0"/>
    <xf numFmtId="0" fontId="9" fillId="0" borderId="0" applyNumberFormat="0" applyFill="0" applyBorder="0" applyAlignment="0" applyProtection="0"/>
    <xf numFmtId="0" fontId="2" fillId="0" borderId="0"/>
    <xf numFmtId="0" fontId="8" fillId="0" borderId="0"/>
    <xf numFmtId="0" fontId="2" fillId="0" borderId="0"/>
    <xf numFmtId="0" fontId="10" fillId="0" borderId="0"/>
    <xf numFmtId="0" fontId="11" fillId="0" borderId="0"/>
    <xf numFmtId="0" fontId="13" fillId="0" borderId="0"/>
    <xf numFmtId="0" fontId="12" fillId="0" borderId="0"/>
    <xf numFmtId="0" fontId="6" fillId="0" borderId="0"/>
    <xf numFmtId="0" fontId="2" fillId="0" borderId="0"/>
    <xf numFmtId="0" fontId="2" fillId="0" borderId="0"/>
    <xf numFmtId="0" fontId="2" fillId="0" borderId="0"/>
    <xf numFmtId="0" fontId="14" fillId="0" borderId="0"/>
  </cellStyleXfs>
  <cellXfs count="41">
    <xf numFmtId="0" fontId="0" fillId="0" borderId="0" xfId="0"/>
    <xf numFmtId="0" fontId="1" fillId="2" borderId="1" xfId="0" applyFont="1" applyFill="1" applyBorder="1" applyAlignment="1">
      <alignment vertical="top"/>
    </xf>
    <xf numFmtId="0" fontId="1" fillId="4" borderId="0" xfId="0" applyFont="1" applyFill="1" applyAlignment="1">
      <alignment vertical="top"/>
    </xf>
    <xf numFmtId="0" fontId="1" fillId="5" borderId="0" xfId="0" applyFont="1" applyFill="1" applyAlignment="1">
      <alignment vertical="top"/>
    </xf>
    <xf numFmtId="0" fontId="1" fillId="6" borderId="1" xfId="0" applyFont="1" applyFill="1" applyBorder="1"/>
    <xf numFmtId="0" fontId="1" fillId="6" borderId="0" xfId="0" applyFont="1" applyFill="1"/>
    <xf numFmtId="0" fontId="0" fillId="3" borderId="0" xfId="0" applyFill="1"/>
    <xf numFmtId="0" fontId="2" fillId="0" borderId="0" xfId="0" applyFont="1"/>
    <xf numFmtId="0" fontId="2" fillId="0" borderId="0" xfId="1"/>
    <xf numFmtId="0" fontId="3" fillId="6" borderId="2" xfId="1" applyFont="1" applyFill="1" applyBorder="1"/>
    <xf numFmtId="0" fontId="3" fillId="6" borderId="3" xfId="1" applyFont="1" applyFill="1" applyBorder="1"/>
    <xf numFmtId="164" fontId="1" fillId="5" borderId="0" xfId="0" applyNumberFormat="1" applyFont="1" applyFill="1" applyAlignment="1">
      <alignment vertical="top"/>
    </xf>
    <xf numFmtId="164" fontId="0" fillId="0" borderId="0" xfId="0" applyNumberFormat="1"/>
    <xf numFmtId="0" fontId="4" fillId="0" borderId="0" xfId="2"/>
    <xf numFmtId="0" fontId="0" fillId="0" borderId="0" xfId="0" applyAlignment="1">
      <alignment vertical="top"/>
    </xf>
    <xf numFmtId="0" fontId="2" fillId="0" borderId="0" xfId="0" applyFont="1" applyAlignment="1">
      <alignment vertical="top"/>
    </xf>
    <xf numFmtId="0" fontId="0" fillId="8" borderId="0" xfId="0" applyFill="1"/>
    <xf numFmtId="0" fontId="1" fillId="9" borderId="1" xfId="0" applyFont="1" applyFill="1" applyBorder="1" applyAlignment="1">
      <alignment vertical="top"/>
    </xf>
    <xf numFmtId="0" fontId="1" fillId="10" borderId="1" xfId="0" applyFont="1" applyFill="1" applyBorder="1" applyAlignment="1">
      <alignment vertical="top"/>
    </xf>
    <xf numFmtId="0" fontId="1" fillId="7" borderId="0" xfId="0" applyFont="1" applyFill="1" applyAlignment="1">
      <alignment vertical="top"/>
    </xf>
    <xf numFmtId="0" fontId="1" fillId="10" borderId="1" xfId="0" applyFont="1" applyFill="1" applyBorder="1" applyAlignment="1">
      <alignment vertical="top" wrapText="1"/>
    </xf>
    <xf numFmtId="0" fontId="1" fillId="10" borderId="0" xfId="0" applyFont="1" applyFill="1" applyAlignment="1">
      <alignment vertical="top" wrapText="1"/>
    </xf>
    <xf numFmtId="0" fontId="1" fillId="10" borderId="0" xfId="0" applyFont="1" applyFill="1" applyAlignment="1">
      <alignment horizontal="center" vertical="top" wrapText="1"/>
    </xf>
    <xf numFmtId="0" fontId="0" fillId="7" borderId="0" xfId="0" applyFill="1"/>
    <xf numFmtId="0" fontId="0" fillId="11" borderId="0" xfId="0" applyFill="1"/>
    <xf numFmtId="0" fontId="7" fillId="10" borderId="0" xfId="0" applyFont="1" applyFill="1" applyAlignment="1">
      <alignment vertical="top" wrapText="1"/>
    </xf>
    <xf numFmtId="49" fontId="8" fillId="0" borderId="0" xfId="1" applyNumberFormat="1" applyFont="1"/>
    <xf numFmtId="0" fontId="8" fillId="0" borderId="0" xfId="1" applyFont="1"/>
    <xf numFmtId="164" fontId="8" fillId="0" borderId="0" xfId="1" applyNumberFormat="1" applyFont="1"/>
    <xf numFmtId="14" fontId="8" fillId="0" borderId="0" xfId="1" applyNumberFormat="1" applyFont="1"/>
    <xf numFmtId="22" fontId="8" fillId="0" borderId="0" xfId="1" applyNumberFormat="1" applyFont="1"/>
    <xf numFmtId="49" fontId="2" fillId="0" borderId="0" xfId="1" applyNumberFormat="1"/>
    <xf numFmtId="14" fontId="2" fillId="0" borderId="0" xfId="1" applyNumberFormat="1"/>
    <xf numFmtId="164" fontId="2" fillId="0" borderId="0" xfId="1" applyNumberFormat="1"/>
    <xf numFmtId="0" fontId="2" fillId="7" borderId="0" xfId="1" applyFill="1"/>
    <xf numFmtId="49" fontId="2" fillId="12" borderId="2" xfId="1" applyNumberFormat="1" applyFill="1" applyBorder="1"/>
    <xf numFmtId="49" fontId="2" fillId="0" borderId="2" xfId="1" applyNumberFormat="1" applyBorder="1"/>
    <xf numFmtId="49" fontId="2" fillId="12" borderId="3" xfId="1" applyNumberFormat="1" applyFill="1" applyBorder="1"/>
    <xf numFmtId="49" fontId="15" fillId="0" borderId="0" xfId="1" applyNumberFormat="1" applyFont="1"/>
    <xf numFmtId="0" fontId="15" fillId="0" borderId="0" xfId="1" applyFont="1"/>
    <xf numFmtId="0" fontId="15" fillId="7" borderId="0" xfId="1" applyFont="1" applyFill="1"/>
  </cellXfs>
  <cellStyles count="16">
    <cellStyle name="Hyperlink" xfId="2" builtinId="8"/>
    <cellStyle name="Hyperlink 2" xfId="3" xr:uid="{E69D276C-DAB5-4E49-B243-5C2DB6A87809}"/>
    <cellStyle name="Normal" xfId="0" builtinId="0"/>
    <cellStyle name="Normal 2" xfId="1" xr:uid="{9FA2F453-6118-4A30-8CA7-0D22E533E020}"/>
    <cellStyle name="Normal 3" xfId="4" xr:uid="{8421DD0D-C5D1-4F8F-8521-3EA90D4E0D05}"/>
    <cellStyle name="Normal 4" xfId="5" xr:uid="{BE728A11-94F1-474B-8AD2-DAA841163BA5}"/>
    <cellStyle name="Normal 4 2" xfId="6" xr:uid="{4DD19609-A2C3-4BAF-AC4C-DCB4CF9A8A32}"/>
    <cellStyle name="Normal 4 3" xfId="9" xr:uid="{7362A94D-517C-4418-A19A-2463CDF38B9F}"/>
    <cellStyle name="Normal 4 3 2" xfId="11" xr:uid="{2AB6E79F-327E-4E0C-ACAA-F9B32810C375}"/>
    <cellStyle name="Normal 5" xfId="7" xr:uid="{19CBF001-F517-4FFA-8D2C-06B31AA9AC68}"/>
    <cellStyle name="Normal 5 2" xfId="12" xr:uid="{98A91D26-BFD9-40D6-8682-8A1E6FCB044F}"/>
    <cellStyle name="Normal 6" xfId="8" xr:uid="{92CD89B8-3A78-4BBC-8E92-1B3948E0293C}"/>
    <cellStyle name="Normal 6 2" xfId="13" xr:uid="{2D7321D9-A86E-4733-A961-B4C695C85F76}"/>
    <cellStyle name="Normal 7" xfId="10" xr:uid="{965F9283-AEB5-4EF1-96D4-F9460DA62E60}"/>
    <cellStyle name="Normal 7 2" xfId="14" xr:uid="{127531BD-F2D1-48B4-A718-1086B3D9734D}"/>
    <cellStyle name="Normal 8" xfId="15" xr:uid="{BB949925-2B05-42D9-A420-2922EE4D5D3B}"/>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fill>
        <patternFill patternType="solid">
          <fgColor indexed="64"/>
          <bgColor rgb="FFFF0000"/>
        </patternFill>
      </fill>
    </dxf>
    <dxf>
      <numFmt numFmtId="164" formatCode="[$-409]d\-mmm\-yyyy;@"/>
    </dxf>
    <dxf>
      <numFmt numFmtId="30" formatCode="@"/>
    </dxf>
    <dxf>
      <numFmt numFmtId="30" formatCode="@"/>
    </dxf>
    <dxf>
      <numFmt numFmtId="30" formatCode="@"/>
    </dxf>
    <dxf>
      <numFmt numFmtId="30" formatCode="@"/>
    </dxf>
    <dxf>
      <numFmt numFmtId="19" formatCode="m/d/yyyy"/>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owerPivotData" Target="model/item.data"/><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marin\OneDrive%20-%20ENDAVA\Documents\CE_FY22\Desktop\Dava.%20X%20Teme\Ro%20Opps.xlsx" TargetMode="External"/><Relationship Id="rId1" Type="http://schemas.openxmlformats.org/officeDocument/2006/relationships/externalLinkPath" Target="Ro%20Op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s"/>
      <sheetName val="Other Sources"/>
    </sheetNames>
    <sheetDataSet>
      <sheetData sheetId="0"/>
      <sheetData sheetId="1">
        <row r="1">
          <cell r="A1" t="str">
            <v>Opportunity Name (unique identifier)</v>
          </cell>
          <cell r="B1" t="str">
            <v>Account</v>
          </cell>
          <cell r="C1" t="str">
            <v>Entry Date</v>
          </cell>
          <cell r="D1" t="str">
            <v>Close Date</v>
          </cell>
          <cell r="E1" t="str">
            <v>Email Sender</v>
          </cell>
          <cell r="F1" t="str">
            <v>New/Extension</v>
          </cell>
          <cell r="G1" t="str">
            <v>Opportunity Details (from email)</v>
          </cell>
          <cell r="H1" t="str">
            <v>Technology Stack</v>
          </cell>
          <cell r="I1" t="str">
            <v>Entry channel</v>
          </cell>
          <cell r="J1" t="str">
            <v>Delivery Model</v>
          </cell>
          <cell r="K1" t="str">
            <v>Existing domain knowledge in Country</v>
          </cell>
          <cell r="L1" t="str">
            <v>Project scaling &amp; team extension probability</v>
          </cell>
          <cell r="M1" t="str">
            <v>Available Technical Expertise</v>
          </cell>
          <cell r="N1" t="str">
            <v>Team size required</v>
          </cell>
          <cell r="O1" t="str">
            <v>Grade shape flexibility</v>
          </cell>
          <cell r="P1" t="str">
            <v>Ability to grow juniors</v>
          </cell>
          <cell r="Q1" t="str">
            <v>Rotations involved</v>
          </cell>
          <cell r="R1" t="str">
            <v>Status of the opportunity</v>
          </cell>
          <cell r="S1" t="str">
            <v>Lost Reason</v>
          </cell>
          <cell r="T1" t="str">
            <v>Won Reason</v>
          </cell>
          <cell r="U1" t="str">
            <v>Winning locations</v>
          </cell>
          <cell r="V1" t="str">
            <v>Comments</v>
          </cell>
          <cell r="W1" t="str">
            <v>WFM SPOC</v>
          </cell>
          <cell r="X1" t="str">
            <v>Bench Tenure
(Days/Person)</v>
          </cell>
          <cell r="Y1" t="str">
            <v>Deployable Bench
 %</v>
          </cell>
          <cell r="Z1" t="str">
            <v>Deployable Bench 
by Core Skill</v>
          </cell>
          <cell r="AA1" t="str">
            <v>Staffing locations</v>
          </cell>
          <cell r="AB1" t="str">
            <v>Last update received</v>
          </cell>
          <cell r="AC1" t="str">
            <v>Priority check</v>
          </cell>
          <cell r="AD1" t="str">
            <v>Priority reason</v>
          </cell>
          <cell r="AE1" t="str">
            <v>Follow-up Date</v>
          </cell>
          <cell r="AF1" t="str">
            <v>Development</v>
          </cell>
          <cell r="AG1" t="str">
            <v>Architecture</v>
          </cell>
          <cell r="AH1" t="str">
            <v>Testing</v>
          </cell>
          <cell r="AI1" t="str">
            <v>AM</v>
          </cell>
          <cell r="AJ1" t="str">
            <v>Data &amp; AI</v>
          </cell>
          <cell r="AK1" t="str">
            <v>Creative Services</v>
          </cell>
          <cell r="AL1" t="str">
            <v>Infrastructure</v>
          </cell>
          <cell r="AM1" t="str">
            <v>Analysis</v>
          </cell>
          <cell r="AN1" t="str">
            <v>PDM</v>
          </cell>
        </row>
        <row r="2">
          <cell r="A2" t="str">
            <v>PHP Developer</v>
          </cell>
          <cell r="B2" t="str">
            <v>Worldpay</v>
          </cell>
          <cell r="C2">
            <v>45355</v>
          </cell>
          <cell r="E2" t="str">
            <v>Simona Makkos</v>
          </cell>
          <cell r="F2" t="str">
            <v>Extension</v>
          </cell>
          <cell r="G2" t="str">
            <v xml:space="preserve">We kindly ask for your assistance to cover the PMO requirements for the following accounts, as we are currently at full capacity, and it is an urgent need.
Is there any possibility to identify available resources within the current pool? If not, please help us initiate a recruitment ticket as soon as possible.
Additionally, Liviu Aurelian Preda, our PMO colleague, will be leaving Endava by the end of March 2025, making it critical to fill this gap. 
We require 1 FTE with 100% coverage to ensure continuity. </v>
          </cell>
          <cell r="H2" t="str">
            <v>PHP</v>
          </cell>
          <cell r="I2" t="str">
            <v>E-mail</v>
          </cell>
          <cell r="J2" t="str">
            <v>Team augmentation</v>
          </cell>
          <cell r="N2">
            <v>1</v>
          </cell>
          <cell r="R2" t="str">
            <v>Initiated</v>
          </cell>
          <cell r="W2" t="str">
            <v>Simona Makkos</v>
          </cell>
          <cell r="AB2">
            <v>45758</v>
          </cell>
          <cell r="AF2">
            <v>1</v>
          </cell>
        </row>
        <row r="3">
          <cell r="A3" t="str">
            <v>New Java Team</v>
          </cell>
          <cell r="B3" t="str">
            <v>SOPHiA GENETICS SA</v>
          </cell>
          <cell r="C3">
            <v>44999</v>
          </cell>
          <cell r="E3" t="str">
            <v>Cristina Marin</v>
          </cell>
          <cell r="F3" t="str">
            <v>New</v>
          </cell>
          <cell r="G3" t="str">
            <v>Request: Web application development for a Customer Ordering Portal 
Team Shape: 1 x UX (Figma); 1 x FE (React); 1 x BE (Java); 1 x FullStack
Start Date: April 1st
Experience: SE and above (Need a self starter independent person who can dive in and learn quickly)</v>
          </cell>
          <cell r="H3" t="str">
            <v>Java, React, UX Design</v>
          </cell>
          <cell r="I3" t="str">
            <v>Chat</v>
          </cell>
          <cell r="J3" t="str">
            <v>Cross-functional</v>
          </cell>
          <cell r="N3">
            <v>4</v>
          </cell>
          <cell r="R3" t="str">
            <v>In progress</v>
          </cell>
          <cell r="W3" t="str">
            <v>Mioara Dimov Craciun</v>
          </cell>
          <cell r="X3" t="e">
            <v>#REF!</v>
          </cell>
          <cell r="Y3" t="e">
            <v>#REF!</v>
          </cell>
          <cell r="AB3">
            <v>45390</v>
          </cell>
          <cell r="AC3" t="str">
            <v>Opp staffed according to priorities</v>
          </cell>
          <cell r="AF3">
            <v>2</v>
          </cell>
          <cell r="AK3">
            <v>1</v>
          </cell>
        </row>
      </sheetData>
    </sheetDataSet>
  </externalBook>
</externalLink>
</file>

<file path=xl/persons/person.xml><?xml version="1.0" encoding="utf-8"?>
<personList xmlns="http://schemas.microsoft.com/office/spreadsheetml/2018/threadedcomments" xmlns:x="http://schemas.openxmlformats.org/spreadsheetml/2006/main">
  <person displayName="Cristina Marin" id="{4BE472CF-452B-463E-9372-57EC9D4CBC36}" userId="S::Cristina.Marin@endava.com::08b5b5be-4e7d-4045-8180-27421849703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17091-5693-43CA-B0AE-E9BB5D13BC6A}" name="Table1" displayName="Table1" ref="A1:V10" totalsRowShown="0">
  <autoFilter ref="A1:V10" xr:uid="{4FE17091-5693-43CA-B0AE-E9BB5D13BC6A}"/>
  <tableColumns count="22">
    <tableColumn id="1" xr3:uid="{DC4E2361-A745-4218-A804-DF59B20BEA2F}" name="(Do Not Modify) Person"/>
    <tableColumn id="2" xr3:uid="{2692D454-D00D-4C7A-9286-51E0EDE78060}" name="(Do Not Modify) Row Checksum"/>
    <tableColumn id="3" xr3:uid="{600161B6-889C-4C6B-8AA8-511AC37ED147}" name="(Do Not Modify) Modified On"/>
    <tableColumn id="4" xr3:uid="{0C922863-53EF-4ABF-A45E-C3E243C0979E}" name="Full Name" dataDxfId="32" dataCellStyle="Normal 2"/>
    <tableColumn id="5" xr3:uid="{24C1A155-7CAE-4DC4-8918-57E9FE2D2C63}" name="Email" dataDxfId="31" dataCellStyle="Normal 2"/>
    <tableColumn id="6" xr3:uid="{0E4FF69D-E31E-4D43-A209-236F3A239ABA}" name="Person Number" dataDxfId="30" dataCellStyle="Normal 2"/>
    <tableColumn id="7" xr3:uid="{916BFB9C-4E9C-4235-8FCE-2CA88980814B}" name="Region/Sector" dataDxfId="29" dataCellStyle="Normal 2"/>
    <tableColumn id="8" xr3:uid="{4767C662-8933-4B2C-9433-B6DC635D352A}" name="Current BU" dataDxfId="28" dataCellStyle="Normal 2"/>
    <tableColumn id="9" xr3:uid="{E8747DE1-0F55-41B6-8488-D1490881412F}" name="Grade" dataDxfId="27" dataCellStyle="Normal 2"/>
    <tableColumn id="10" xr3:uid="{5FEC4EED-11A1-41E9-9790-4430EF3BFDE2}" name="Discipline" dataDxfId="26" dataCellStyle="Normal 2"/>
    <tableColumn id="11" xr3:uid="{47E9CF5E-0441-4B1E-A104-084F81AE8242}" name="Job Title" dataDxfId="25" dataCellStyle="Normal 2"/>
    <tableColumn id="12" xr3:uid="{BECF2913-E561-4FB0-8945-1E0F793A095C}" name="Main Role" dataDxfId="24" dataCellStyle="Normal 2"/>
    <tableColumn id="13" xr3:uid="{386C65A0-1888-40E8-887F-23975A4668D7}" name="Other Skills" dataDxfId="23" dataCellStyle="Normal 2"/>
    <tableColumn id="14" xr3:uid="{679EBEC0-8B18-4921-9FBB-9D02B9679145}" name="Has CV" dataDxfId="22" dataCellStyle="Normal 2"/>
    <tableColumn id="15" xr3:uid="{9B91589F-F990-482D-B332-09908D9C9BEE}" name="CV Last Modified On" dataDxfId="21" dataCellStyle="Normal 2"/>
    <tableColumn id="16" xr3:uid="{D522A154-5064-4070-BD76-39FCF3D9BAB0}" name="Language" dataDxfId="20" dataCellStyle="Normal 2"/>
    <tableColumn id="17" xr3:uid="{04721134-7913-4F05-AC1B-377A8D9E2E92}" name="Industry Vertical" dataCellStyle="Normal 2"/>
    <tableColumn id="18" xr3:uid="{61EA0DE4-B052-45E3-9E59-55121B924680}" name="Sub-Vertical" dataDxfId="19" dataCellStyle="Normal 2"/>
    <tableColumn id="19" xr3:uid="{4A12A705-2069-485D-8D13-4F831E5426F5}" name="Aspirational Role" dataDxfId="18" dataCellStyle="Normal 2"/>
    <tableColumn id="20" xr3:uid="{D056FCCD-C4DE-4AB1-98A2-40C888ADDB3A}" name="Presales Experience" dataDxfId="17" dataCellStyle="Normal 2"/>
    <tableColumn id="21" xr3:uid="{A7969DC3-F27D-49A9-930F-9C476A8BDEBD}" name="Joining Date" dataDxfId="16" dataCellStyle="Normal 2"/>
    <tableColumn id="23" xr3:uid="{2CAC8417-7DC5-486C-8880-2CACECCB8D41}" name="Core Skill" dataDxfId="15"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4-05T10:07:11.88" personId="{4BE472CF-452B-463E-9372-57EC9D4CBC36}" id="{E1075781-C82A-4BA3-938D-457ED60FB807}">
    <text>Mandatory field in both trackers: Proposals &amp; Opps</text>
  </threadedComment>
  <threadedComment ref="B1" dT="2024-04-05T10:08:21.50" personId="{4BE472CF-452B-463E-9372-57EC9D4CBC36}" id="{D6829B1E-56FC-4C3C-A194-7FD009EF6C2F}">
    <text>No manual Input-Info automatically retrieved from Opps tracker</text>
  </threadedComment>
  <threadedComment ref="D1" dT="2024-04-05T10:08:27.29" personId="{4BE472CF-452B-463E-9372-57EC9D4CBC36}" id="{036FE523-E0E7-46C7-8A86-B9D7C46FB564}">
    <text>No manual Input-Info automatically retrieved from Opps tracker</text>
  </threadedComment>
  <threadedComment ref="E1" dT="2024-04-05T10:08:33.39" personId="{4BE472CF-452B-463E-9372-57EC9D4CBC36}" id="{E2E2B0AB-F1DA-452C-BD17-76963712DBB3}">
    <text>No manual Input-Info automatically retrieved from Opps tracker</text>
  </threadedComment>
  <threadedComment ref="F1" dT="2024-04-05T10:13:27.95" personId="{4BE472CF-452B-463E-9372-57EC9D4CBC36}" id="{C0B14899-3276-47FB-9F26-3F021530FA28}">
    <text xml:space="preserve">No manual Input-Info automatically retrieved from OBPs tab
</text>
  </threadedComment>
  <threadedComment ref="G1" dT="2024-04-05T10:13:43.65" personId="{4BE472CF-452B-463E-9372-57EC9D4CBC36}" id="{D5853346-C4CC-48E2-AF47-BB728066006A}">
    <text>No manual Input-Info automatically retrieved from HoDs tab</text>
  </threadedComment>
  <threadedComment ref="H1" dT="2024-04-05T10:08:50.37" personId="{4BE472CF-452B-463E-9372-57EC9D4CBC36}" id="{5A07D20E-631B-4122-84CB-D6DD747FD4BB}">
    <text>No manual Input-Info automatically retrieved from Opps tracker</text>
  </threadedComment>
  <threadedComment ref="I1" dT="2024-04-05T10:10:23.71" personId="{4BE472CF-452B-463E-9372-57EC9D4CBC36}" id="{D3D1A36D-E2D2-486B-8AAF-F545C978C9B4}">
    <text xml:space="preserve">No manual Input-Info automatically retrieved from Opps tracker
</text>
  </threadedComment>
  <threadedComment ref="J1" dT="2024-04-05T10:10:37.84" personId="{4BE472CF-452B-463E-9372-57EC9D4CBC36}" id="{D283C82B-A1BD-4077-8F48-01D004189312}">
    <text>Manual entry-Format name from EWA to be used-Check Active People Report  Tab</text>
  </threadedComment>
  <threadedComment ref="K1" dT="2024-04-05T10:10:47.11" personId="{4BE472CF-452B-463E-9372-57EC9D4CBC36}" id="{7273BC54-2C5A-480D-A3CE-A58DC2FADC3B}">
    <text>No manual Input-Info automatically retrieved from Active People Report tab</text>
  </threadedComment>
  <threadedComment ref="L1" dT="2024-04-05T11:09:17.36" personId="{4BE472CF-452B-463E-9372-57EC9D4CBC36}" id="{B5F4B8C2-9C33-483D-8FB1-787EC9174151}">
    <text>Manual entry</text>
  </threadedComment>
  <threadedComment ref="M1" dT="2024-04-05T10:15:17.70" personId="{4BE472CF-452B-463E-9372-57EC9D4CBC36}" id="{40E6786D-A5B1-4971-B141-6339CBFB3285}">
    <text>No manual Input-Info automatically retrieved from Active People Report tab</text>
  </threadedComment>
  <threadedComment ref="N1" dT="2024-04-05T10:15:37.03" personId="{4BE472CF-452B-463E-9372-57EC9D4CBC36}" id="{CDB3A158-885A-476C-A471-40B93D6B3B4E}">
    <text>No manual Input-Info automatically retrieved from Active People Report tab</text>
  </threadedComment>
  <threadedComment ref="S1" dT="2024-04-05T10:16:15.09" personId="{4BE472CF-452B-463E-9372-57EC9D4CBC36}" id="{B5FA1145-30C8-4085-8EFC-7B043BF4A7A9}">
    <text>Manual entry</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04-05T10:10:37.84" personId="{4BE472CF-452B-463E-9372-57EC9D4CBC36}" id="{02142922-73A6-4510-BF83-1AC64E69E6FB}">
    <text>Manual entry-Format name from EWA to be used-Check Active People Report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openxmlformats.org/officeDocument/2006/relationships/hyperlink" Target="mailto:adrian.matean@endava.com" TargetMode="External"/><Relationship Id="rId3" Type="http://schemas.openxmlformats.org/officeDocument/2006/relationships/hyperlink" Target="mailto:madalina.preda@endava.com" TargetMode="External"/><Relationship Id="rId7" Type="http://schemas.openxmlformats.org/officeDocument/2006/relationships/hyperlink" Target="mailto:ciprian.dogaru@endava.com" TargetMode="External"/><Relationship Id="rId2" Type="http://schemas.openxmlformats.org/officeDocument/2006/relationships/hyperlink" Target="mailto:Stefana.Ghetu@endava.com" TargetMode="External"/><Relationship Id="rId1" Type="http://schemas.openxmlformats.org/officeDocument/2006/relationships/hyperlink" Target="mailto:Adrian.Iancu@endava.com" TargetMode="External"/><Relationship Id="rId6" Type="http://schemas.openxmlformats.org/officeDocument/2006/relationships/hyperlink" Target="mailto:catalin.pisoiu@endava.com" TargetMode="External"/><Relationship Id="rId5" Type="http://schemas.openxmlformats.org/officeDocument/2006/relationships/hyperlink" Target="mailto:anca.rarau@endava.com" TargetMode="External"/><Relationship Id="rId10" Type="http://schemas.openxmlformats.org/officeDocument/2006/relationships/hyperlink" Target="mailto:Adrian.Iancu@endava.com" TargetMode="External"/><Relationship Id="rId4" Type="http://schemas.openxmlformats.org/officeDocument/2006/relationships/hyperlink" Target="mailto:anca.draghia@endava.com" TargetMode="External"/><Relationship Id="rId9" Type="http://schemas.openxmlformats.org/officeDocument/2006/relationships/hyperlink" Target="mailto:adrian.matean@endava.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ergiu.ciurca@endava.com" TargetMode="External"/><Relationship Id="rId13" Type="http://schemas.openxmlformats.org/officeDocument/2006/relationships/hyperlink" Target="mailto:Mihaita.Tisu@endava.com" TargetMode="External"/><Relationship Id="rId18" Type="http://schemas.openxmlformats.org/officeDocument/2006/relationships/hyperlink" Target="mailto:aurelia.despa@endava.com" TargetMode="External"/><Relationship Id="rId3" Type="http://schemas.openxmlformats.org/officeDocument/2006/relationships/hyperlink" Target="mailto:RO.Workforce.Management@endava.com" TargetMode="External"/><Relationship Id="rId21" Type="http://schemas.openxmlformats.org/officeDocument/2006/relationships/hyperlink" Target="mailto:Anca-Madalina.Baboi@endava.com" TargetMode="External"/><Relationship Id="rId7" Type="http://schemas.openxmlformats.org/officeDocument/2006/relationships/hyperlink" Target="mailto:Dragos.Puscasu@endava.com" TargetMode="External"/><Relationship Id="rId12" Type="http://schemas.openxmlformats.org/officeDocument/2006/relationships/hyperlink" Target="mailto:Ioana.Negrean@endava.com" TargetMode="External"/><Relationship Id="rId17" Type="http://schemas.openxmlformats.org/officeDocument/2006/relationships/hyperlink" Target="mailto:Daniela.Mocanu@endava.com" TargetMode="External"/><Relationship Id="rId2" Type="http://schemas.openxmlformats.org/officeDocument/2006/relationships/hyperlink" Target="mailto:Emanuela.Biro@endava.com" TargetMode="External"/><Relationship Id="rId16" Type="http://schemas.openxmlformats.org/officeDocument/2006/relationships/hyperlink" Target="mailto:RO.Workforce.Management@endava.com" TargetMode="External"/><Relationship Id="rId20" Type="http://schemas.openxmlformats.org/officeDocument/2006/relationships/hyperlink" Target="mailto:Loredana.Patrascu@endava.com" TargetMode="External"/><Relationship Id="rId1" Type="http://schemas.openxmlformats.org/officeDocument/2006/relationships/hyperlink" Target="mailto:Catalin.Mircu@endava.com" TargetMode="External"/><Relationship Id="rId6" Type="http://schemas.openxmlformats.org/officeDocument/2006/relationships/hyperlink" Target="mailto:Alexandru.Pandi@endava.com" TargetMode="External"/><Relationship Id="rId11" Type="http://schemas.openxmlformats.org/officeDocument/2006/relationships/hyperlink" Target="mailto:daniel.munteanu@endava.com" TargetMode="External"/><Relationship Id="rId24" Type="http://schemas.openxmlformats.org/officeDocument/2006/relationships/hyperlink" Target="mailto:Mioara.Craciun@endava.com" TargetMode="External"/><Relationship Id="rId5" Type="http://schemas.openxmlformats.org/officeDocument/2006/relationships/hyperlink" Target="mailto:Stefan.Radulescu@endava.com" TargetMode="External"/><Relationship Id="rId15" Type="http://schemas.openxmlformats.org/officeDocument/2006/relationships/hyperlink" Target="mailto:dan.riza@endava.com" TargetMode="External"/><Relationship Id="rId23" Type="http://schemas.openxmlformats.org/officeDocument/2006/relationships/hyperlink" Target="mailto:simona.makkos@endava.com" TargetMode="External"/><Relationship Id="rId10" Type="http://schemas.openxmlformats.org/officeDocument/2006/relationships/hyperlink" Target="mailto:adrian.petcu@endava.com" TargetMode="External"/><Relationship Id="rId19" Type="http://schemas.openxmlformats.org/officeDocument/2006/relationships/hyperlink" Target="mailto:Liviu.Istrate@endava.com" TargetMode="External"/><Relationship Id="rId4" Type="http://schemas.openxmlformats.org/officeDocument/2006/relationships/hyperlink" Target="mailto:Stefana.Ghetu@endava.com" TargetMode="External"/><Relationship Id="rId9" Type="http://schemas.openxmlformats.org/officeDocument/2006/relationships/hyperlink" Target="mailto:adrian.matean@endava.com" TargetMode="External"/><Relationship Id="rId14" Type="http://schemas.openxmlformats.org/officeDocument/2006/relationships/hyperlink" Target="mailto:adrian.buturuga@endava.com" TargetMode="External"/><Relationship Id="rId22" Type="http://schemas.openxmlformats.org/officeDocument/2006/relationships/hyperlink" Target="mailto:andrada.plesa@endava.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endava-my.sharepoint.com/personal/mioara_craciun_endava_com/Documents/Desktop/%5bRo%20Opps.xlsm%5dOther%20Sources" TargetMode="External"/><Relationship Id="rId2" Type="http://schemas.openxmlformats.org/officeDocument/2006/relationships/hyperlink" Target="https://endava-my.sharepoint.com/personal/andrada_plesa_endava_com/Documents/Desktop/opps%20last%20version/%5bRo%20Opps.xlsm%5dOther%20Sources" TargetMode="External"/><Relationship Id="rId1" Type="http://schemas.openxmlformats.org/officeDocument/2006/relationships/hyperlink" Target="%5bRo%20Opps.xlsm%5dOther%20Sources" TargetMode="External"/><Relationship Id="rId4" Type="http://schemas.openxmlformats.org/officeDocument/2006/relationships/hyperlink" Target="https://endava-my.sharepoint.com/personal/simona_makkos_endava_com/Documents/WFP/6.RO%20Opps%20meeting/%5bRo%20Opps.xlsx%5dOther%20Sources"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mailto:Adrian.Pironescu@endav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10A1-6320-4B21-941F-FB3DE3675E14}">
  <sheetPr codeName="Sheet1"/>
  <dimension ref="A1:W8"/>
  <sheetViews>
    <sheetView tabSelected="1" zoomScale="70" zoomScaleNormal="70" workbookViewId="0">
      <pane xSplit="1" ySplit="1" topLeftCell="H2" activePane="bottomRight" state="frozen"/>
      <selection pane="topRight" activeCell="B1" sqref="B1"/>
      <selection pane="bottomLeft" activeCell="A2" sqref="A2"/>
      <selection pane="bottomRight" activeCell="H19" sqref="H19"/>
    </sheetView>
  </sheetViews>
  <sheetFormatPr defaultRowHeight="14.4" x14ac:dyDescent="0.3"/>
  <cols>
    <col min="1" max="1" width="54.44140625" customWidth="1"/>
    <col min="2" max="2" width="19.44140625" customWidth="1"/>
    <col min="3" max="3" width="26.44140625" customWidth="1"/>
    <col min="4" max="4" width="41.5546875" bestFit="1" customWidth="1"/>
    <col min="5" max="6" width="30.5546875" customWidth="1"/>
    <col min="7" max="7" width="40.44140625" customWidth="1"/>
    <col min="8" max="8" width="22.5546875" customWidth="1"/>
    <col min="9" max="9" width="17" customWidth="1"/>
    <col min="10" max="10" width="33.44140625" bestFit="1" customWidth="1"/>
    <col min="11" max="11" width="23.5546875" customWidth="1"/>
    <col min="12" max="12" width="17.5546875" customWidth="1"/>
    <col min="13" max="13" width="7.44140625" customWidth="1"/>
    <col min="14" max="14" width="11.33203125" customWidth="1"/>
    <col min="15" max="16" width="16.44140625" style="12" customWidth="1"/>
    <col min="17" max="17" width="15.44140625" style="12" customWidth="1"/>
    <col min="18" max="18" width="13.5546875" customWidth="1"/>
    <col min="19" max="19" width="41.44140625" customWidth="1"/>
    <col min="20" max="20" width="17.44140625" customWidth="1"/>
    <col min="21" max="21" width="57.5546875" customWidth="1"/>
    <col min="22" max="22" width="20.5546875" customWidth="1"/>
    <col min="23" max="23" width="17.44140625" customWidth="1"/>
  </cols>
  <sheetData>
    <row r="1" spans="1:23" ht="57.6" x14ac:dyDescent="0.3">
      <c r="A1" s="17" t="s">
        <v>0</v>
      </c>
      <c r="B1" s="1" t="s">
        <v>1</v>
      </c>
      <c r="C1" s="1" t="s">
        <v>2</v>
      </c>
      <c r="D1" s="1" t="s">
        <v>3</v>
      </c>
      <c r="E1" s="1" t="s">
        <v>4</v>
      </c>
      <c r="F1" s="20" t="s">
        <v>5</v>
      </c>
      <c r="G1" s="20" t="s">
        <v>6</v>
      </c>
      <c r="H1" s="18" t="s">
        <v>7</v>
      </c>
      <c r="I1" s="18" t="s">
        <v>8</v>
      </c>
      <c r="J1" s="19" t="s">
        <v>9</v>
      </c>
      <c r="K1" s="25" t="s">
        <v>10</v>
      </c>
      <c r="L1" s="19" t="s">
        <v>11</v>
      </c>
      <c r="M1" s="21" t="s">
        <v>12</v>
      </c>
      <c r="N1" s="22" t="s">
        <v>13</v>
      </c>
      <c r="O1" s="11" t="s">
        <v>14</v>
      </c>
      <c r="P1" s="3" t="s">
        <v>15</v>
      </c>
      <c r="Q1" s="3" t="s">
        <v>16</v>
      </c>
      <c r="R1" s="3" t="s">
        <v>17</v>
      </c>
      <c r="S1" s="19" t="s">
        <v>18</v>
      </c>
      <c r="T1" s="2" t="s">
        <v>19</v>
      </c>
      <c r="U1" s="2" t="s">
        <v>20</v>
      </c>
      <c r="V1" s="2" t="s">
        <v>21</v>
      </c>
      <c r="W1" s="2" t="s">
        <v>22</v>
      </c>
    </row>
    <row r="2" spans="1:23" ht="14.85" customHeight="1" x14ac:dyDescent="0.3">
      <c r="A2" s="15" t="s">
        <v>309</v>
      </c>
      <c r="B2" t="str">
        <f>IFERROR(IF(ISBLANK(A2),"Opp name not found",IF(VLOOKUP(A2,'[1]Other Sources'!$A:$AN,4,0)&lt;&gt;0,VLOOKUP(A2,'[1]Other Sources'!$A:$AN,4,0),"Not reached CH")),"Please add the Opp name in Opp Tracker as well")</f>
        <v>Not reached CH</v>
      </c>
      <c r="C2" t="str">
        <f>IFERROR(IF(ISBLANK(A2),"Opp name not found",IF(VLOOKUP(A2,'[1]Other Sources'!$A:$AN,9,0)&lt;&gt;0,VLOOKUP(A2,'[1]Other Sources'!$A:$AN,9,0),"Not reached CH")),"Please add the Opp name in Opp Tracker as well")</f>
        <v>E-mail</v>
      </c>
      <c r="D2" t="str">
        <f>IFERROR(IF(ISBLANK(A2),"Opp name not found",IF(VLOOKUP(A2,'[1]Other Sources'!$A:$AN,12,0)&lt;&gt;0,VLOOKUP(A2,'[1]Other Sources'!$A:$AN,12,0),"Not reached CH")),"Please add the Opp name in Opp Tracker as well")</f>
        <v>Not reached CH</v>
      </c>
      <c r="E2" t="str">
        <f>IFERROR(IF(ISBLANK(A2),"Opp name not found",IF(VLOOKUP(A2,'[1]Other Sources'!$A:$AN,18,0)&lt;&gt;0,VLOOKUP(A2,'[1]Other Sources'!$A:$AN,18,0),"Not reached CH")),"Please add the Opp name in Opp Tracker as well")</f>
        <v>Initiated</v>
      </c>
      <c r="F2" t="e">
        <f>VLOOKUP(E2,OBPs!$A:$B,2,0)</f>
        <v>#N/A</v>
      </c>
      <c r="G2" t="str">
        <f>INDEX('HoDs Matrix'!$B$2:$K$8,MATCH($N2,'HoDs Matrix'!$A$2:$A$8,0),MATCH(K2,'HoDs Matrix'!$B$1:$K$1,0))</f>
        <v>Daniela.Bogdan@endava.com ; radu.pinzaru@endava.com</v>
      </c>
      <c r="H2">
        <f>IFERROR(IF(ISBLANK(A2),"Opp name not found",IF(VLOOKUP(A2,'[1]Other Sources'!$A:$AN,28,0)&lt;&gt;0,VLOOKUP(A2,'[1]Other Sources'!$A:$AN,28,0),"Not reached CH")),"Please add the Opp name in Opp Tracker as well")</f>
        <v>45758</v>
      </c>
      <c r="I2" t="str">
        <f>IFERROR(IF(ISBLANK(A2),"Opp name not found",IF(VLOOKUP(A2,'[1]Other Sources'!$A:$AN,33,0)&lt;&gt;0,VLOOKUP(A2,'[1]Other Sources'!$A:$AN,33,0),"Not reached CH")),"Please add the Opp name in Opp Tracker as well")</f>
        <v>Not reached CH</v>
      </c>
      <c r="J2" s="35" t="s">
        <v>312</v>
      </c>
      <c r="K2" t="str">
        <f>VLOOKUP(J2,'Active People Report'!D:J,7,0)</f>
        <v>Data</v>
      </c>
      <c r="L2" t="str">
        <f>VLOOKUP(J2,'Active People Report'!D:V,19,0)</f>
        <v>AI/ML</v>
      </c>
      <c r="M2" t="str">
        <f>VLOOKUP(J2,'Active People Report'!D:I,6,0)</f>
        <v>AB</v>
      </c>
      <c r="N2" t="str">
        <f>VLOOKUP(J2,'Active People Report'!D:H,5,0)</f>
        <v>CLD</v>
      </c>
      <c r="O2" s="12">
        <v>45370</v>
      </c>
      <c r="S2" t="s">
        <v>23</v>
      </c>
      <c r="V2" t="str">
        <f>VLOOKUP(J2,'Profile links'!A:B,2,FALSE)</f>
        <v>https://endava.sharepoint.com/:w:/s/BWSDocuments/EWnpAGIdPLROqlwMipV9eWYBKrUtdUZ7MHADVQGJzELx8Q?e=pEAx0j</v>
      </c>
    </row>
    <row r="3" spans="1:23" ht="14.85" customHeight="1" x14ac:dyDescent="0.3">
      <c r="A3" s="15" t="s">
        <v>309</v>
      </c>
      <c r="B3" t="str">
        <f>IFERROR(IF(ISBLANK(A3),"Opp name not found",IF(VLOOKUP(A3,'[1]Other Sources'!$A:$AN,4,0)&lt;&gt;0,VLOOKUP(A3,'[1]Other Sources'!$A:$AN,4,0),"Not reached CH")),"Please add the Opp name in Opp Tracker as well")</f>
        <v>Not reached CH</v>
      </c>
      <c r="C3" t="str">
        <f>IFERROR(IF(ISBLANK(A3),"Opp name not found",IF(VLOOKUP(A3,'[1]Other Sources'!$A:$AN,9,0)&lt;&gt;0,VLOOKUP(A3,'[1]Other Sources'!$A:$AN,9,0),"Not reached CH")),"Please add the Opp name in Opp Tracker as well")</f>
        <v>E-mail</v>
      </c>
      <c r="D3" t="str">
        <f>IFERROR(IF(ISBLANK(A3),"Opp name not found",IF(VLOOKUP(A3,'[1]Other Sources'!$A:$AN,12,0)&lt;&gt;0,VLOOKUP(A3,'[1]Other Sources'!$A:$AN,12,0),"Not reached CH")),"Please add the Opp name in Opp Tracker as well")</f>
        <v>Not reached CH</v>
      </c>
      <c r="E3" t="str">
        <f>IFERROR(IF(ISBLANK(A3),"Opp name not found",IF(VLOOKUP(A3,'[1]Other Sources'!$A:$AN,18,0)&lt;&gt;0,VLOOKUP(A3,'[1]Other Sources'!$A:$AN,18,0),"Not reached CH")),"Please add the Opp name in Opp Tracker as well")</f>
        <v>Initiated</v>
      </c>
      <c r="F3" t="e">
        <f>VLOOKUP(E3,OBPs!$A:$B,2,0)</f>
        <v>#N/A</v>
      </c>
      <c r="G3" t="str">
        <f>INDEX('HoDs Matrix'!$B$2:$K$8,MATCH($N3,'HoDs Matrix'!$A$2:$A$8,0),MATCH(K3,'HoDs Matrix'!$B$1:$K$1,0))</f>
        <v>Daniela.Bogdan@endava.com ; radu.pinzaru@endava.com</v>
      </c>
      <c r="H3">
        <f>IFERROR(IF(ISBLANK(A3),"Opp name not found",IF(VLOOKUP(A3,'[1]Other Sources'!$A:$AN,28,0)&lt;&gt;0,VLOOKUP(A3,'[1]Other Sources'!$A:$AN,28,0),"Not reached CH")),"Please add the Opp name in Opp Tracker as well")</f>
        <v>45758</v>
      </c>
      <c r="I3" t="str">
        <f>IFERROR(IF(ISBLANK(A3),"Opp name not found",IF(VLOOKUP(A3,'[1]Other Sources'!$A:$AN,33,0)&lt;&gt;0,VLOOKUP(A3,'[1]Other Sources'!$A:$AN,33,0),"Not reached CH")),"Please add the Opp name in Opp Tracker as well")</f>
        <v>Not reached CH</v>
      </c>
      <c r="J3" s="36" t="s">
        <v>313</v>
      </c>
      <c r="K3" t="str">
        <f>VLOOKUP(J3,'Active People Report'!D:J,7,0)</f>
        <v>Data</v>
      </c>
      <c r="L3" t="str">
        <f>VLOOKUP(J3,'Active People Report'!D:V,19,0)</f>
        <v>AI/ML</v>
      </c>
      <c r="M3" t="str">
        <f>VLOOKUP(J3,'Active People Report'!D:I,6,0)</f>
        <v>AB</v>
      </c>
      <c r="N3" t="str">
        <f>VLOOKUP(J3,'Active People Report'!D:H,5,0)</f>
        <v>CLD</v>
      </c>
      <c r="O3" s="12">
        <v>45371</v>
      </c>
      <c r="S3" t="s">
        <v>33</v>
      </c>
      <c r="V3" t="str">
        <f>VLOOKUP(J3,'Profile links'!A:B,2,FALSE)</f>
        <v>https://endava.sharepoint.com/:w:/s/BWSDocuments/Ee20vSqhLZNLuNTMNSjtJ-gBNxi97-jtdwei9xnC46mlKQ?e=6l3knD</v>
      </c>
    </row>
    <row r="4" spans="1:23" ht="14.85" customHeight="1" x14ac:dyDescent="0.3">
      <c r="A4" s="15" t="s">
        <v>309</v>
      </c>
      <c r="B4" t="str">
        <f>IFERROR(IF(ISBLANK(A4),"Opp name not found",IF(VLOOKUP(A4,'[1]Other Sources'!$A:$AN,4,0)&lt;&gt;0,VLOOKUP(A4,'[1]Other Sources'!$A:$AN,4,0),"Not reached CH")),"Please add the Opp name in Opp Tracker as well")</f>
        <v>Not reached CH</v>
      </c>
      <c r="C4" t="str">
        <f>IFERROR(IF(ISBLANK(A4),"Opp name not found",IF(VLOOKUP(A4,'[1]Other Sources'!$A:$AN,9,0)&lt;&gt;0,VLOOKUP(A4,'[1]Other Sources'!$A:$AN,9,0),"Not reached CH")),"Please add the Opp name in Opp Tracker as well")</f>
        <v>E-mail</v>
      </c>
      <c r="D4" t="str">
        <f>IFERROR(IF(ISBLANK(A4),"Opp name not found",IF(VLOOKUP(A4,'[1]Other Sources'!$A:$AN,12,0)&lt;&gt;0,VLOOKUP(A4,'[1]Other Sources'!$A:$AN,12,0),"Not reached CH")),"Please add the Opp name in Opp Tracker as well")</f>
        <v>Not reached CH</v>
      </c>
      <c r="E4" t="str">
        <f>IFERROR(IF(ISBLANK(A4),"Opp name not found",IF(VLOOKUP(A4,'[1]Other Sources'!$A:$AN,18,0)&lt;&gt;0,VLOOKUP(A4,'[1]Other Sources'!$A:$AN,18,0),"Not reached CH")),"Please add the Opp name in Opp Tracker as well")</f>
        <v>Initiated</v>
      </c>
      <c r="F4" t="e">
        <f>VLOOKUP(E4,OBPs!$A:$B,2,0)</f>
        <v>#N/A</v>
      </c>
      <c r="G4" t="str">
        <f>INDEX('HoDs Matrix'!$B$2:$K$8,MATCH($N4,'HoDs Matrix'!$A$2:$A$8,0),MATCH(K4,'HoDs Matrix'!$B$1:$K$1,0))</f>
        <v>Adrian.Iancu@endava.com</v>
      </c>
      <c r="H4">
        <f>IFERROR(IF(ISBLANK(A4),"Opp name not found",IF(VLOOKUP(A4,'[1]Other Sources'!$A:$AN,28,0)&lt;&gt;0,VLOOKUP(A4,'[1]Other Sources'!$A:$AN,28,0),"Not reached CH")),"Please add the Opp name in Opp Tracker as well")</f>
        <v>45758</v>
      </c>
      <c r="I4" t="str">
        <f>IFERROR(IF(ISBLANK(A4),"Opp name not found",IF(VLOOKUP(A4,'[1]Other Sources'!$A:$AN,33,0)&lt;&gt;0,VLOOKUP(A4,'[1]Other Sources'!$A:$AN,33,0),"Not reached CH")),"Please add the Opp name in Opp Tracker as well")</f>
        <v>Not reached CH</v>
      </c>
      <c r="J4" s="37" t="s">
        <v>314</v>
      </c>
      <c r="K4" t="str">
        <f>VLOOKUP(J4,'Active People Report'!D:J,7,0)</f>
        <v>Development</v>
      </c>
      <c r="L4" t="str">
        <f>VLOOKUP(J4,'Active People Report'!D:V,19,0)</f>
        <v>.NET</v>
      </c>
      <c r="M4" t="str">
        <f>VLOOKUP(J4,'Active People Report'!D:I,6,0)</f>
        <v>AB</v>
      </c>
      <c r="N4" t="str">
        <f>VLOOKUP(J4,'Active People Report'!D:H,5,0)</f>
        <v>BHD</v>
      </c>
      <c r="O4" s="12">
        <v>45369</v>
      </c>
      <c r="S4" t="s">
        <v>26</v>
      </c>
      <c r="V4" t="str">
        <f>VLOOKUP(J4,'Profile links'!A:B,2,FALSE)</f>
        <v>https://endava.sharepoint.com/:w:/s/BWSDocuments/EWLWxKI6oLZEj8N5NovJb7IBuJZ5T3smOy_1hctBRDL_6Q?e=RiaynJ</v>
      </c>
    </row>
    <row r="5" spans="1:23" ht="14.85" customHeight="1" x14ac:dyDescent="0.3">
      <c r="A5" s="7" t="s">
        <v>310</v>
      </c>
      <c r="B5" t="str">
        <f>IFERROR(IF(ISBLANK(A5),"Opp name not found",IF(VLOOKUP(A5,'[1]Other Sources'!$A:$AN,4,0)&lt;&gt;0,VLOOKUP(A5,'[1]Other Sources'!$A:$AN,4,0),"Not reached CH")),"Please add the Opp name in Opp Tracker as well")</f>
        <v>Not reached CH</v>
      </c>
      <c r="C5" t="str">
        <f>IFERROR(IF(ISBLANK(A5),"Opp name not found",IF(VLOOKUP(A5,'[1]Other Sources'!$A:$AN,9,0)&lt;&gt;0,VLOOKUP(A5,'[1]Other Sources'!$A:$AN,9,0),"Not reached CH")),"Please add the Opp name in Opp Tracker as well")</f>
        <v>Chat</v>
      </c>
      <c r="D5" t="str">
        <f>IFERROR(IF(ISBLANK(A5),"Opp name not found",IF(VLOOKUP(A5,'[1]Other Sources'!$A:$AN,12,0)&lt;&gt;0,VLOOKUP(A5,'[1]Other Sources'!$A:$AN,12,0),"Not reached CH")),"Please add the Opp name in Opp Tracker as well")</f>
        <v>Not reached CH</v>
      </c>
      <c r="E5" t="str">
        <f>IFERROR(IF(ISBLANK(A5),"Opp name not found",IF(VLOOKUP(A5,'[1]Other Sources'!$A:$AN,18,0)&lt;&gt;0,VLOOKUP(A5,'[1]Other Sources'!$A:$AN,18,0),"Not reached CH")),"Please add the Opp name in Opp Tracker as well")</f>
        <v>In progress</v>
      </c>
      <c r="F5" t="e">
        <f>VLOOKUP(E5,OBPs!$A:$B,2,0)</f>
        <v>#N/A</v>
      </c>
      <c r="G5" t="str">
        <f>INDEX('HoDs Matrix'!$B$2:$K$8,MATCH($N5,'HoDs Matrix'!$A$2:$A$8,0),MATCH(K5,'HoDs Matrix'!$B$1:$K$1,0))</f>
        <v>Adrian.Iancu@endava.com</v>
      </c>
      <c r="H5">
        <f>IFERROR(IF(ISBLANK(A5),"Opp name not found",IF(VLOOKUP(A5,'[1]Other Sources'!$A:$AN,28,0)&lt;&gt;0,VLOOKUP(A5,'[1]Other Sources'!$A:$AN,28,0),"Not reached CH")),"Please add the Opp name in Opp Tracker as well")</f>
        <v>45390</v>
      </c>
      <c r="I5" t="str">
        <f>IFERROR(IF(ISBLANK(A5),"Opp name not found",IF(VLOOKUP(A5,'[1]Other Sources'!$A:$AN,33,0)&lt;&gt;0,VLOOKUP(A5,'[1]Other Sources'!$A:$AN,33,0),"Not reached CH")),"Please add the Opp name in Opp Tracker as well")</f>
        <v>Not reached CH</v>
      </c>
      <c r="J5" s="37" t="s">
        <v>315</v>
      </c>
      <c r="K5" t="str">
        <f>VLOOKUP(J5,'Active People Report'!D:J,7,0)</f>
        <v>Development</v>
      </c>
      <c r="L5" t="str">
        <f>VLOOKUP(J5,'Active People Report'!D:V,19,0)</f>
        <v>Java</v>
      </c>
      <c r="M5" t="str">
        <f>VLOOKUP(J5,'Active People Report'!D:I,6,0)</f>
        <v>AB</v>
      </c>
      <c r="N5" t="str">
        <f>VLOOKUP(J5,'Active People Report'!D:H,5,0)</f>
        <v>BVD</v>
      </c>
      <c r="O5" s="12">
        <v>45370</v>
      </c>
      <c r="S5" t="s">
        <v>26</v>
      </c>
      <c r="V5" t="str">
        <f>VLOOKUP(J5,'Profile links'!A:B,2,FALSE)</f>
        <v>https://endava.sharepoint.com/:w:/s/BWSDocuments/EQMRHuiaqbVPvjpiuqPkiIIBso1CaOpa2zuZ2f_Is_8gPg?e=MPLy6G</v>
      </c>
    </row>
    <row r="6" spans="1:23" ht="14.85" customHeight="1" x14ac:dyDescent="0.3">
      <c r="A6" s="7" t="s">
        <v>310</v>
      </c>
      <c r="B6" t="str">
        <f>IFERROR(IF(ISBLANK(A6),"Opp name not found",IF(VLOOKUP(A6,'[1]Other Sources'!$A:$AN,4,0)&lt;&gt;0,VLOOKUP(A6,'[1]Other Sources'!$A:$AN,4,0),"Not reached CH")),"Please add the Opp name in Opp Tracker as well")</f>
        <v>Not reached CH</v>
      </c>
      <c r="C6" t="str">
        <f>IFERROR(IF(ISBLANK(A6),"Opp name not found",IF(VLOOKUP(A6,'[1]Other Sources'!$A:$AN,9,0)&lt;&gt;0,VLOOKUP(A6,'[1]Other Sources'!$A:$AN,9,0),"Not reached CH")),"Please add the Opp name in Opp Tracker as well")</f>
        <v>Chat</v>
      </c>
      <c r="D6" t="str">
        <f>IFERROR(IF(ISBLANK(A6),"Opp name not found",IF(VLOOKUP(A6,'[1]Other Sources'!$A:$AN,12,0)&lt;&gt;0,VLOOKUP(A6,'[1]Other Sources'!$A:$AN,12,0),"Not reached CH")),"Please add the Opp name in Opp Tracker as well")</f>
        <v>Not reached CH</v>
      </c>
      <c r="E6" t="str">
        <f>IFERROR(IF(ISBLANK(A6),"Opp name not found",IF(VLOOKUP(A6,'[1]Other Sources'!$A:$AN,18,0)&lt;&gt;0,VLOOKUP(A6,'[1]Other Sources'!$A:$AN,18,0),"Not reached CH")),"Please add the Opp name in Opp Tracker as well")</f>
        <v>In progress</v>
      </c>
      <c r="F6" t="e">
        <f>VLOOKUP(E6,OBPs!$A:$B,2,0)</f>
        <v>#N/A</v>
      </c>
      <c r="G6" t="str">
        <f>INDEX('HoDs Matrix'!$B$2:$K$8,MATCH($N6,'HoDs Matrix'!$A$2:$A$8,0),MATCH(K6,'HoDs Matrix'!$B$1:$K$1,0))</f>
        <v>adrian.matean@endava.com</v>
      </c>
      <c r="H6">
        <f>IFERROR(IF(ISBLANK(A6),"Opp name not found",IF(VLOOKUP(A6,'[1]Other Sources'!$A:$AN,28,0)&lt;&gt;0,VLOOKUP(A6,'[1]Other Sources'!$A:$AN,28,0),"Not reached CH")),"Please add the Opp name in Opp Tracker as well")</f>
        <v>45390</v>
      </c>
      <c r="I6" t="str">
        <f>IFERROR(IF(ISBLANK(A6),"Opp name not found",IF(VLOOKUP(A6,'[1]Other Sources'!$A:$AN,33,0)&lt;&gt;0,VLOOKUP(A6,'[1]Other Sources'!$A:$AN,33,0),"Not reached CH")),"Please add the Opp name in Opp Tracker as well")</f>
        <v>Not reached CH</v>
      </c>
      <c r="J6" s="37" t="s">
        <v>316</v>
      </c>
      <c r="K6" t="str">
        <f>VLOOKUP(J6,'Active People Report'!D:J,7,0)</f>
        <v>Development</v>
      </c>
      <c r="L6" t="str">
        <f>VLOOKUP(J6,'Active People Report'!D:V,19,0)</f>
        <v>Python</v>
      </c>
      <c r="M6" t="str">
        <f>VLOOKUP(J6,'Active People Report'!D:I,6,0)</f>
        <v>AB</v>
      </c>
      <c r="N6" t="str">
        <f>VLOOKUP(J6,'Active People Report'!D:H,5,0)</f>
        <v>CLD</v>
      </c>
      <c r="O6" s="12">
        <v>45371</v>
      </c>
      <c r="S6" t="s">
        <v>26</v>
      </c>
      <c r="V6" t="str">
        <f>VLOOKUP(J6,'Profile links'!A:B,2,FALSE)</f>
        <v>https://endava.sharepoint.com/:w:/s/BWSDocuments/ET_oHiTBZcpFhD-KW3kq4y8BYMaRyUjkvjnEgSyEVDNpow?e=poZpNB</v>
      </c>
    </row>
    <row r="7" spans="1:23" ht="14.85" customHeight="1" x14ac:dyDescent="0.3">
      <c r="A7" s="7" t="s">
        <v>310</v>
      </c>
      <c r="B7" t="str">
        <f>IFERROR(IF(ISBLANK(A7),"Opp name not found",IF(VLOOKUP(A7,'[1]Other Sources'!$A:$AN,4,0)&lt;&gt;0,VLOOKUP(A7,'[1]Other Sources'!$A:$AN,4,0),"Not reached CH")),"Please add the Opp name in Opp Tracker as well")</f>
        <v>Not reached CH</v>
      </c>
      <c r="C7" t="str">
        <f>IFERROR(IF(ISBLANK(A7),"Opp name not found",IF(VLOOKUP(A7,'[1]Other Sources'!$A:$AN,9,0)&lt;&gt;0,VLOOKUP(A7,'[1]Other Sources'!$A:$AN,9,0),"Not reached CH")),"Please add the Opp name in Opp Tracker as well")</f>
        <v>Chat</v>
      </c>
      <c r="D7" t="str">
        <f>IFERROR(IF(ISBLANK(A7),"Opp name not found",IF(VLOOKUP(A7,'[1]Other Sources'!$A:$AN,12,0)&lt;&gt;0,VLOOKUP(A7,'[1]Other Sources'!$A:$AN,12,0),"Not reached CH")),"Please add the Opp name in Opp Tracker as well")</f>
        <v>Not reached CH</v>
      </c>
      <c r="E7" t="str">
        <f>IFERROR(IF(ISBLANK(A7),"Opp name not found",IF(VLOOKUP(A7,'[1]Other Sources'!$A:$AN,18,0)&lt;&gt;0,VLOOKUP(A7,'[1]Other Sources'!$A:$AN,18,0),"Not reached CH")),"Please add the Opp name in Opp Tracker as well")</f>
        <v>In progress</v>
      </c>
      <c r="F7" t="e">
        <f>VLOOKUP(E7,OBPs!$A:$B,2,0)</f>
        <v>#N/A</v>
      </c>
      <c r="G7" t="str">
        <f>INDEX('HoDs Matrix'!$B$2:$K$8,MATCH($N7,'HoDs Matrix'!$A$2:$A$8,0),MATCH(K7,'HoDs Matrix'!$B$1:$K$1,0))</f>
        <v>bogdan.darabaneanu@endava.com</v>
      </c>
      <c r="H7">
        <f>IFERROR(IF(ISBLANK(A7),"Opp name not found",IF(VLOOKUP(A7,'[1]Other Sources'!$A:$AN,28,0)&lt;&gt;0,VLOOKUP(A7,'[1]Other Sources'!$A:$AN,28,0),"Not reached CH")),"Please add the Opp name in Opp Tracker as well")</f>
        <v>45390</v>
      </c>
      <c r="I7" t="str">
        <f>IFERROR(IF(ISBLANK(A7),"Opp name not found",IF(VLOOKUP(A7,'[1]Other Sources'!$A:$AN,33,0)&lt;&gt;0,VLOOKUP(A7,'[1]Other Sources'!$A:$AN,33,0),"Not reached CH")),"Please add the Opp name in Opp Tracker as well")</f>
        <v>Not reached CH</v>
      </c>
      <c r="J7" s="37" t="s">
        <v>317</v>
      </c>
      <c r="K7" t="str">
        <f>VLOOKUP(J7,'Active People Report'!D:J,7,0)</f>
        <v>Testing</v>
      </c>
      <c r="L7" t="str">
        <f>VLOOKUP(J7,'Active People Report'!D:V,19,0)</f>
        <v>Automation Testing</v>
      </c>
      <c r="M7" t="str">
        <f>VLOOKUP(J7,'Active People Report'!D:I,6,0)</f>
        <v>AB</v>
      </c>
      <c r="N7" t="str">
        <f>VLOOKUP(J7,'Active People Report'!D:H,5,0)</f>
        <v>ISD</v>
      </c>
      <c r="O7" s="12">
        <v>45372</v>
      </c>
      <c r="S7" t="s">
        <v>37</v>
      </c>
      <c r="V7" t="str">
        <f>VLOOKUP(J7,'Profile links'!A:B,2,FALSE)</f>
        <v>https://endava.sharepoint.com/:w:/s/BWSDocuments/ETIqS88QEyhBsJonGH7RxhkBV0iSceJzVloXbbC3LYYKfA?e=wTrRTT</v>
      </c>
    </row>
    <row r="8" spans="1:23" ht="14.85" customHeight="1" x14ac:dyDescent="0.3">
      <c r="A8" s="7" t="s">
        <v>310</v>
      </c>
      <c r="B8" t="str">
        <f>IFERROR(IF(ISBLANK(A8),"Opp name not found",IF(VLOOKUP(A8,'[1]Other Sources'!$A:$AN,4,0)&lt;&gt;0,VLOOKUP(A8,'[1]Other Sources'!$A:$AN,4,0),"Not reached CH")),"Please add the Opp name in Opp Tracker as well")</f>
        <v>Not reached CH</v>
      </c>
      <c r="C8" t="str">
        <f>IFERROR(IF(ISBLANK(A8),"Opp name not found",IF(VLOOKUP(A8,'[1]Other Sources'!$A:$AN,9,0)&lt;&gt;0,VLOOKUP(A8,'[1]Other Sources'!$A:$AN,9,0),"Not reached CH")),"Please add the Opp name in Opp Tracker as well")</f>
        <v>Chat</v>
      </c>
      <c r="D8" t="str">
        <f>IFERROR(IF(ISBLANK(A8),"Opp name not found",IF(VLOOKUP(A8,'[1]Other Sources'!$A:$AN,12,0)&lt;&gt;0,VLOOKUP(A8,'[1]Other Sources'!$A:$AN,12,0),"Not reached CH")),"Please add the Opp name in Opp Tracker as well")</f>
        <v>Not reached CH</v>
      </c>
      <c r="E8" t="str">
        <f>IFERROR(IF(ISBLANK(A8),"Opp name not found",IF(VLOOKUP(A8,'[1]Other Sources'!$A:$AN,18,0)&lt;&gt;0,VLOOKUP(A8,'[1]Other Sources'!$A:$AN,18,0),"Not reached CH")),"Please add the Opp name in Opp Tracker as well")</f>
        <v>In progress</v>
      </c>
      <c r="F8" t="e">
        <f>VLOOKUP(E8,OBPs!$A:$B,2,0)</f>
        <v>#N/A</v>
      </c>
      <c r="G8" t="str">
        <f>INDEX('HoDs Matrix'!$B$2:$K$8,MATCH($N8,'HoDs Matrix'!$A$2:$A$8,0),MATCH(K8,'HoDs Matrix'!$B$1:$K$1,0))</f>
        <v>adrian.matean@endava.com</v>
      </c>
      <c r="H8">
        <f>IFERROR(IF(ISBLANK(A8),"Opp name not found",IF(VLOOKUP(A8,'[1]Other Sources'!$A:$AN,28,0)&lt;&gt;0,VLOOKUP(A8,'[1]Other Sources'!$A:$AN,28,0),"Not reached CH")),"Please add the Opp name in Opp Tracker as well")</f>
        <v>45390</v>
      </c>
      <c r="I8" t="str">
        <f>IFERROR(IF(ISBLANK(A8),"Opp name not found",IF(VLOOKUP(A8,'[1]Other Sources'!$A:$AN,33,0)&lt;&gt;0,VLOOKUP(A8,'[1]Other Sources'!$A:$AN,33,0),"Not reached CH")),"Please add the Opp name in Opp Tracker as well")</f>
        <v>Not reached CH</v>
      </c>
      <c r="J8" s="37" t="s">
        <v>318</v>
      </c>
      <c r="K8" t="str">
        <f>VLOOKUP(J8,'Active People Report'!D:J,7,0)</f>
        <v>Development</v>
      </c>
      <c r="L8" t="str">
        <f>VLOOKUP(J8,'Active People Report'!D:V,19,0)</f>
        <v>Java</v>
      </c>
      <c r="M8" t="str">
        <f>VLOOKUP(J8,'Active People Report'!D:I,6,0)</f>
        <v>AB</v>
      </c>
      <c r="N8" t="str">
        <f>VLOOKUP(J8,'Active People Report'!D:H,5,0)</f>
        <v>CLD</v>
      </c>
      <c r="O8" s="12">
        <v>45373</v>
      </c>
      <c r="S8" t="s">
        <v>37</v>
      </c>
      <c r="V8" t="str">
        <f>VLOOKUP(J8,'Profile links'!A:B,2,FALSE)</f>
        <v>https://endava.sharepoint.com/:w:/s/BWSDocuments/EaKIbSEe5xFFiOD1UgN1VbEByMY9lRHhJ4cfyraujgzOdA?e=1ywpJn</v>
      </c>
    </row>
  </sheetData>
  <autoFilter ref="A1:W8" xr:uid="{085110A1-6320-4B21-941F-FB3DE3675E14}"/>
  <sortState xmlns:xlrd2="http://schemas.microsoft.com/office/spreadsheetml/2017/richdata2" ref="A2:W8">
    <sortCondition ref="O1:O8"/>
  </sortState>
  <phoneticPr fontId="5" type="noConversion"/>
  <conditionalFormatting sqref="J2:J8">
    <cfRule type="duplicateValues" dxfId="14" priority="1"/>
  </conditionalFormatting>
  <conditionalFormatting sqref="J1036882:J1048576 J1 J9:J1036880">
    <cfRule type="duplicateValues" dxfId="13" priority="2157"/>
  </conditionalFormatting>
  <conditionalFormatting sqref="J1:L1">
    <cfRule type="duplicateValues" dxfId="12" priority="833"/>
    <cfRule type="duplicateValues" dxfId="11" priority="834"/>
    <cfRule type="duplicateValues" dxfId="10" priority="835"/>
  </conditionalFormatting>
  <dataValidations count="1">
    <dataValidation type="textLength" operator="lessThanOrEqual" allowBlank="1" showInputMessage="1" showErrorMessage="1" errorTitle="Length Exceeded" error="This value must be less than or equal to 200 characters long." promptTitle="Text" prompt="Maximum Length: 200 characters." sqref="J2:J8" xr:uid="{7E303AA8-1DF3-4317-9B8D-F524EF14314E}">
      <formula1>200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30FABE-C8DA-4A3A-9FC3-869FA442DA6F}">
          <x14:formula1>
            <xm:f>'Drop downs'!$D$2:$D$18</xm:f>
          </x14:formula1>
          <xm:sqref>S2:S1048576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D04E-D05C-46BE-88D6-46037227EB8C}">
  <sheetPr codeName="Sheet9"/>
  <dimension ref="A1:B8"/>
  <sheetViews>
    <sheetView zoomScale="70" zoomScaleNormal="70" workbookViewId="0">
      <pane ySplit="1" topLeftCell="A2" activePane="bottomLeft" state="frozen"/>
      <selection pane="bottomLeft" activeCell="B22" sqref="B22"/>
    </sheetView>
  </sheetViews>
  <sheetFormatPr defaultRowHeight="14.4" x14ac:dyDescent="0.3"/>
  <cols>
    <col min="1" max="1" width="36.44140625" bestFit="1" customWidth="1"/>
    <col min="2" max="2" width="117.5546875" customWidth="1"/>
  </cols>
  <sheetData>
    <row r="1" spans="1:2" x14ac:dyDescent="0.3">
      <c r="A1" s="19" t="s">
        <v>9</v>
      </c>
      <c r="B1" s="2" t="s">
        <v>21</v>
      </c>
    </row>
    <row r="2" spans="1:2" x14ac:dyDescent="0.3">
      <c r="A2" t="s">
        <v>312</v>
      </c>
      <c r="B2" s="13" t="s">
        <v>93</v>
      </c>
    </row>
    <row r="3" spans="1:2" x14ac:dyDescent="0.3">
      <c r="A3" s="36" t="s">
        <v>313</v>
      </c>
      <c r="B3" t="s">
        <v>94</v>
      </c>
    </row>
    <row r="4" spans="1:2" x14ac:dyDescent="0.3">
      <c r="A4" s="37" t="s">
        <v>314</v>
      </c>
      <c r="B4" s="13" t="s">
        <v>95</v>
      </c>
    </row>
    <row r="5" spans="1:2" x14ac:dyDescent="0.3">
      <c r="A5" s="37" t="s">
        <v>315</v>
      </c>
      <c r="B5" s="13" t="s">
        <v>96</v>
      </c>
    </row>
    <row r="6" spans="1:2" x14ac:dyDescent="0.3">
      <c r="A6" s="37" t="s">
        <v>316</v>
      </c>
      <c r="B6" s="13" t="s">
        <v>97</v>
      </c>
    </row>
    <row r="7" spans="1:2" x14ac:dyDescent="0.3">
      <c r="A7" s="37" t="s">
        <v>317</v>
      </c>
      <c r="B7" s="13" t="s">
        <v>98</v>
      </c>
    </row>
    <row r="8" spans="1:2" x14ac:dyDescent="0.3">
      <c r="A8" s="37" t="s">
        <v>318</v>
      </c>
      <c r="B8" t="s">
        <v>99</v>
      </c>
    </row>
  </sheetData>
  <conditionalFormatting sqref="A1">
    <cfRule type="duplicateValues" dxfId="9" priority="271"/>
    <cfRule type="duplicateValues" dxfId="8" priority="272"/>
    <cfRule type="duplicateValues" dxfId="7" priority="273"/>
    <cfRule type="duplicateValues" dxfId="6" priority="274"/>
  </conditionalFormatting>
  <conditionalFormatting sqref="A2">
    <cfRule type="duplicateValues" dxfId="5" priority="270"/>
  </conditionalFormatting>
  <conditionalFormatting sqref="A1:A2 A9:A1048576">
    <cfRule type="duplicateValues" dxfId="1" priority="2268"/>
  </conditionalFormatting>
  <conditionalFormatting sqref="A3:A8">
    <cfRule type="duplicateValues" dxfId="0" priority="1"/>
  </conditionalFormatting>
  <dataValidations count="1">
    <dataValidation type="textLength" operator="lessThanOrEqual" allowBlank="1" showInputMessage="1" showErrorMessage="1" errorTitle="Length Exceeded" error="This value must be less than or equal to 200 characters long." promptTitle="Text" prompt="Maximum Length: 200 characters." sqref="A3:A8" xr:uid="{60906D33-FFE0-453A-91B1-B39A4A8EE04F}">
      <formula1>200</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7B06-CFDF-4077-BEF6-F800B8C3F9F4}">
  <sheetPr codeName="Sheet6"/>
  <dimension ref="A1:K9"/>
  <sheetViews>
    <sheetView workbookViewId="0">
      <selection activeCell="B14" sqref="B14"/>
    </sheetView>
  </sheetViews>
  <sheetFormatPr defaultRowHeight="14.4" x14ac:dyDescent="0.3"/>
  <cols>
    <col min="1" max="1" width="17.5546875" customWidth="1"/>
    <col min="2" max="2" width="35" customWidth="1"/>
    <col min="3" max="3" width="30.5546875" bestFit="1" customWidth="1"/>
    <col min="4" max="4" width="49.44140625" customWidth="1"/>
    <col min="5" max="5" width="29.5546875" customWidth="1"/>
    <col min="6" max="6" width="25.5546875" customWidth="1"/>
    <col min="7" max="7" width="53.44140625" bestFit="1" customWidth="1"/>
    <col min="8" max="8" width="50.44140625" bestFit="1" customWidth="1"/>
    <col min="9" max="9" width="24.5546875" customWidth="1"/>
    <col min="10" max="10" width="24.5546875" bestFit="1" customWidth="1"/>
    <col min="11" max="11" width="16.44140625" bestFit="1" customWidth="1"/>
  </cols>
  <sheetData>
    <row r="1" spans="1:11" x14ac:dyDescent="0.3">
      <c r="A1" t="s">
        <v>106</v>
      </c>
      <c r="B1" t="s">
        <v>32</v>
      </c>
      <c r="C1" t="s">
        <v>69</v>
      </c>
      <c r="D1" t="s">
        <v>83</v>
      </c>
      <c r="E1" t="s">
        <v>107</v>
      </c>
      <c r="F1" t="s">
        <v>39</v>
      </c>
      <c r="G1" t="s">
        <v>73</v>
      </c>
      <c r="H1" t="s">
        <v>87</v>
      </c>
      <c r="I1" t="s">
        <v>108</v>
      </c>
      <c r="J1" t="s">
        <v>109</v>
      </c>
      <c r="K1" t="s">
        <v>110</v>
      </c>
    </row>
    <row r="2" spans="1:11" x14ac:dyDescent="0.3">
      <c r="A2" t="s">
        <v>40</v>
      </c>
      <c r="B2" s="13" t="s">
        <v>88</v>
      </c>
      <c r="C2" t="s">
        <v>80</v>
      </c>
      <c r="D2" s="13" t="s">
        <v>111</v>
      </c>
      <c r="E2" t="s">
        <v>112</v>
      </c>
      <c r="F2" t="s">
        <v>113</v>
      </c>
      <c r="G2" t="s">
        <v>114</v>
      </c>
      <c r="H2" s="13" t="s">
        <v>115</v>
      </c>
      <c r="I2" t="s">
        <v>116</v>
      </c>
      <c r="K2" t="s">
        <v>117</v>
      </c>
    </row>
    <row r="3" spans="1:11" x14ac:dyDescent="0.3">
      <c r="A3" t="s">
        <v>84</v>
      </c>
      <c r="B3" s="13" t="s">
        <v>88</v>
      </c>
      <c r="C3" t="s">
        <v>118</v>
      </c>
      <c r="D3" t="s">
        <v>119</v>
      </c>
      <c r="E3" t="s">
        <v>120</v>
      </c>
      <c r="F3" t="s">
        <v>113</v>
      </c>
      <c r="G3" t="s">
        <v>121</v>
      </c>
      <c r="H3" t="s">
        <v>122</v>
      </c>
      <c r="I3" s="16" t="s">
        <v>123</v>
      </c>
      <c r="J3" t="s">
        <v>124</v>
      </c>
      <c r="K3" t="s">
        <v>117</v>
      </c>
    </row>
    <row r="4" spans="1:11" x14ac:dyDescent="0.3">
      <c r="A4" t="s">
        <v>68</v>
      </c>
      <c r="B4" s="13" t="s">
        <v>125</v>
      </c>
      <c r="C4" t="s">
        <v>118</v>
      </c>
      <c r="D4" t="s">
        <v>126</v>
      </c>
      <c r="E4" t="s">
        <v>120</v>
      </c>
      <c r="F4" t="s">
        <v>113</v>
      </c>
      <c r="G4" t="s">
        <v>124</v>
      </c>
      <c r="H4" t="s">
        <v>127</v>
      </c>
      <c r="I4" s="16" t="s">
        <v>123</v>
      </c>
      <c r="J4" t="s">
        <v>124</v>
      </c>
      <c r="K4" t="s">
        <v>117</v>
      </c>
    </row>
    <row r="5" spans="1:11" x14ac:dyDescent="0.3">
      <c r="A5" t="s">
        <v>63</v>
      </c>
      <c r="B5" s="13" t="s">
        <v>128</v>
      </c>
      <c r="C5" t="s">
        <v>118</v>
      </c>
      <c r="D5" t="s">
        <v>126</v>
      </c>
      <c r="E5" t="s">
        <v>120</v>
      </c>
      <c r="F5" t="s">
        <v>113</v>
      </c>
      <c r="G5" t="s">
        <v>129</v>
      </c>
      <c r="H5" t="s">
        <v>127</v>
      </c>
      <c r="I5" s="16" t="s">
        <v>123</v>
      </c>
      <c r="J5" t="s">
        <v>124</v>
      </c>
      <c r="K5" t="s">
        <v>117</v>
      </c>
    </row>
    <row r="6" spans="1:11" x14ac:dyDescent="0.3">
      <c r="A6" t="s">
        <v>64</v>
      </c>
      <c r="B6" s="13" t="s">
        <v>90</v>
      </c>
      <c r="C6" t="s">
        <v>130</v>
      </c>
      <c r="D6" t="s">
        <v>131</v>
      </c>
      <c r="E6" t="s">
        <v>132</v>
      </c>
      <c r="F6" t="s">
        <v>113</v>
      </c>
      <c r="G6" t="s">
        <v>133</v>
      </c>
      <c r="H6" t="s">
        <v>134</v>
      </c>
      <c r="I6" t="s">
        <v>135</v>
      </c>
      <c r="K6" t="s">
        <v>117</v>
      </c>
    </row>
    <row r="7" spans="1:11" x14ac:dyDescent="0.3">
      <c r="A7" t="s">
        <v>136</v>
      </c>
      <c r="B7" s="13" t="s">
        <v>90</v>
      </c>
      <c r="C7" t="s">
        <v>130</v>
      </c>
      <c r="D7" t="s">
        <v>131</v>
      </c>
      <c r="E7" t="s">
        <v>132</v>
      </c>
      <c r="F7" t="s">
        <v>113</v>
      </c>
      <c r="G7" t="s">
        <v>133</v>
      </c>
      <c r="H7" t="s">
        <v>134</v>
      </c>
      <c r="I7" t="s">
        <v>135</v>
      </c>
      <c r="K7" t="s">
        <v>117</v>
      </c>
    </row>
    <row r="8" spans="1:11" x14ac:dyDescent="0.3">
      <c r="A8" t="s">
        <v>76</v>
      </c>
      <c r="B8" s="13" t="s">
        <v>137</v>
      </c>
      <c r="C8" t="s">
        <v>138</v>
      </c>
      <c r="D8" t="s">
        <v>139</v>
      </c>
      <c r="E8" t="s">
        <v>120</v>
      </c>
      <c r="F8" t="s">
        <v>113</v>
      </c>
      <c r="G8" t="s">
        <v>140</v>
      </c>
      <c r="H8" t="s">
        <v>141</v>
      </c>
      <c r="I8" t="s">
        <v>142</v>
      </c>
      <c r="K8" t="s">
        <v>117</v>
      </c>
    </row>
    <row r="9" spans="1:11" x14ac:dyDescent="0.3">
      <c r="A9" t="s">
        <v>143</v>
      </c>
      <c r="B9" t="s">
        <v>144</v>
      </c>
      <c r="C9" t="s">
        <v>144</v>
      </c>
      <c r="D9" s="13" t="s">
        <v>144</v>
      </c>
      <c r="E9" t="s">
        <v>144</v>
      </c>
      <c r="F9" t="s">
        <v>144</v>
      </c>
      <c r="G9" t="s">
        <v>144</v>
      </c>
      <c r="H9" t="s">
        <v>134</v>
      </c>
      <c r="I9" t="s">
        <v>144</v>
      </c>
      <c r="J9" t="s">
        <v>144</v>
      </c>
      <c r="K9" t="s">
        <v>144</v>
      </c>
    </row>
  </sheetData>
  <dataValidations count="2">
    <dataValidation type="textLength" operator="lessThanOrEqual" allowBlank="1" showInputMessage="1" showErrorMessage="1" errorTitle="Length Exceeded" error="This value must be less than or equal to 100 characters long." promptTitle="Text" prompt="Maximum Length: 100 characters." sqref="K2:K8 J3:J5 K10:K12 B2:I8" xr:uid="{2247D623-A29A-41DC-AE04-82F40A23D0B8}">
      <formula1>100</formula1>
    </dataValidation>
    <dataValidation showInputMessage="1" showErrorMessage="1" error=" " promptTitle="Lookup (required)" prompt="This Discipline record must already exist in Microsoft Dynamics 365 or in this source file." sqref="D1:K1" xr:uid="{CF4AA2A0-B5AF-4380-9EA8-51A3F19B0A36}"/>
  </dataValidations>
  <hyperlinks>
    <hyperlink ref="B2" r:id="rId1" xr:uid="{AEE0DDC3-8CA2-4B7B-9FF7-8664B0629E0E}"/>
    <hyperlink ref="B8" r:id="rId2" xr:uid="{CF3D3D1D-55D2-4462-B0DB-CD9D0E5E8412}"/>
    <hyperlink ref="H2" r:id="rId3" display="madalina.preda@endava.com" xr:uid="{86CA81DE-2C4F-4DA1-8AA9-E6D802873282}"/>
    <hyperlink ref="D2" r:id="rId4" display="anca.draghia@endava.com" xr:uid="{5235993A-4B3C-428C-B4C9-CF532F9B1644}"/>
    <hyperlink ref="D9" r:id="rId5" xr:uid="{E3F57157-E650-4DD0-840F-73E9FD34BA59}"/>
    <hyperlink ref="B4" r:id="rId6" xr:uid="{01FF267B-C7BA-410D-AEC3-167AB6D06FEA}"/>
    <hyperlink ref="B5" r:id="rId7" xr:uid="{75A499B8-FC99-4BD1-9022-7C45A081435B}"/>
    <hyperlink ref="B6" r:id="rId8" xr:uid="{8CAB547E-9B4A-4D88-B1E7-52B07B0B0DA9}"/>
    <hyperlink ref="B7" r:id="rId9" xr:uid="{D1A5D9EC-CA03-40E2-9CD5-D21D6C072E1A}"/>
    <hyperlink ref="B3" r:id="rId10" xr:uid="{021CA147-18F6-44A9-B84F-6E2020920B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1787-8B69-4A2F-BE3A-02B723462EB1}">
  <sheetPr codeName="Sheet4"/>
  <dimension ref="A1:B64"/>
  <sheetViews>
    <sheetView workbookViewId="0">
      <selection activeCell="A62" sqref="A62"/>
    </sheetView>
  </sheetViews>
  <sheetFormatPr defaultRowHeight="14.4" x14ac:dyDescent="0.3"/>
  <cols>
    <col min="1" max="1" width="22.5546875" bestFit="1" customWidth="1"/>
    <col min="2" max="2" width="30.5546875" bestFit="1" customWidth="1"/>
  </cols>
  <sheetData>
    <row r="1" spans="1:2" x14ac:dyDescent="0.3">
      <c r="A1" s="9" t="s">
        <v>145</v>
      </c>
      <c r="B1" s="10" t="s">
        <v>5</v>
      </c>
    </row>
    <row r="2" spans="1:2" x14ac:dyDescent="0.3">
      <c r="A2" t="s">
        <v>146</v>
      </c>
      <c r="B2" t="s">
        <v>147</v>
      </c>
    </row>
    <row r="3" spans="1:2" x14ac:dyDescent="0.3">
      <c r="A3" t="s">
        <v>148</v>
      </c>
      <c r="B3" t="s">
        <v>88</v>
      </c>
    </row>
    <row r="4" spans="1:2" x14ac:dyDescent="0.3">
      <c r="A4" t="s">
        <v>149</v>
      </c>
      <c r="B4" t="s">
        <v>150</v>
      </c>
    </row>
    <row r="5" spans="1:2" x14ac:dyDescent="0.3">
      <c r="A5" t="s">
        <v>67</v>
      </c>
      <c r="B5" t="s">
        <v>151</v>
      </c>
    </row>
    <row r="6" spans="1:2" x14ac:dyDescent="0.3">
      <c r="A6" t="s">
        <v>152</v>
      </c>
      <c r="B6" t="s">
        <v>144</v>
      </c>
    </row>
    <row r="7" spans="1:2" x14ac:dyDescent="0.3">
      <c r="A7" t="s">
        <v>61</v>
      </c>
      <c r="B7" t="s">
        <v>81</v>
      </c>
    </row>
    <row r="8" spans="1:2" x14ac:dyDescent="0.3">
      <c r="A8" t="s">
        <v>65</v>
      </c>
      <c r="B8" t="s">
        <v>138</v>
      </c>
    </row>
    <row r="9" spans="1:2" x14ac:dyDescent="0.3">
      <c r="A9" t="s">
        <v>62</v>
      </c>
      <c r="B9" t="s">
        <v>153</v>
      </c>
    </row>
    <row r="10" spans="1:2" x14ac:dyDescent="0.3">
      <c r="A10" t="s">
        <v>154</v>
      </c>
      <c r="B10" t="s">
        <v>155</v>
      </c>
    </row>
    <row r="11" spans="1:2" x14ac:dyDescent="0.3">
      <c r="A11" t="s">
        <v>56</v>
      </c>
      <c r="B11" t="s">
        <v>128</v>
      </c>
    </row>
    <row r="12" spans="1:2" x14ac:dyDescent="0.3">
      <c r="A12" t="s">
        <v>156</v>
      </c>
      <c r="B12" t="s">
        <v>157</v>
      </c>
    </row>
    <row r="13" spans="1:2" x14ac:dyDescent="0.3">
      <c r="A13" t="s">
        <v>24</v>
      </c>
      <c r="B13" t="s">
        <v>123</v>
      </c>
    </row>
    <row r="14" spans="1:2" x14ac:dyDescent="0.3">
      <c r="A14" t="s">
        <v>158</v>
      </c>
      <c r="B14" t="s">
        <v>159</v>
      </c>
    </row>
    <row r="15" spans="1:2" x14ac:dyDescent="0.3">
      <c r="A15" t="s">
        <v>160</v>
      </c>
      <c r="B15" t="s">
        <v>161</v>
      </c>
    </row>
    <row r="16" spans="1:2" x14ac:dyDescent="0.3">
      <c r="A16" t="s">
        <v>162</v>
      </c>
      <c r="B16" t="s">
        <v>163</v>
      </c>
    </row>
    <row r="17" spans="1:2" x14ac:dyDescent="0.3">
      <c r="A17" t="s">
        <v>164</v>
      </c>
      <c r="B17" t="s">
        <v>165</v>
      </c>
    </row>
    <row r="18" spans="1:2" x14ac:dyDescent="0.3">
      <c r="A18" t="s">
        <v>166</v>
      </c>
      <c r="B18" t="s">
        <v>167</v>
      </c>
    </row>
    <row r="19" spans="1:2" x14ac:dyDescent="0.3">
      <c r="A19" t="s">
        <v>92</v>
      </c>
      <c r="B19" t="s">
        <v>133</v>
      </c>
    </row>
    <row r="20" spans="1:2" x14ac:dyDescent="0.3">
      <c r="A20" t="s">
        <v>168</v>
      </c>
      <c r="B20" t="s">
        <v>169</v>
      </c>
    </row>
    <row r="21" spans="1:2" x14ac:dyDescent="0.3">
      <c r="A21" t="s">
        <v>85</v>
      </c>
      <c r="B21" t="s">
        <v>170</v>
      </c>
    </row>
    <row r="22" spans="1:2" x14ac:dyDescent="0.3">
      <c r="A22" t="s">
        <v>38</v>
      </c>
      <c r="B22" t="s">
        <v>171</v>
      </c>
    </row>
    <row r="23" spans="1:2" x14ac:dyDescent="0.3">
      <c r="A23" t="s">
        <v>172</v>
      </c>
      <c r="B23" t="s">
        <v>173</v>
      </c>
    </row>
    <row r="24" spans="1:2" x14ac:dyDescent="0.3">
      <c r="A24" t="s">
        <v>35</v>
      </c>
      <c r="B24" s="13" t="s">
        <v>174</v>
      </c>
    </row>
    <row r="25" spans="1:2" x14ac:dyDescent="0.3">
      <c r="A25" t="s">
        <v>175</v>
      </c>
      <c r="B25" t="s">
        <v>176</v>
      </c>
    </row>
    <row r="26" spans="1:2" x14ac:dyDescent="0.3">
      <c r="A26" t="s">
        <v>177</v>
      </c>
      <c r="B26" t="s">
        <v>178</v>
      </c>
    </row>
    <row r="27" spans="1:2" x14ac:dyDescent="0.3">
      <c r="A27" t="s">
        <v>179</v>
      </c>
      <c r="B27" t="s">
        <v>130</v>
      </c>
    </row>
    <row r="28" spans="1:2" x14ac:dyDescent="0.3">
      <c r="A28" t="s">
        <v>180</v>
      </c>
      <c r="B28" s="13" t="s">
        <v>181</v>
      </c>
    </row>
    <row r="29" spans="1:2" x14ac:dyDescent="0.3">
      <c r="A29" t="s">
        <v>44</v>
      </c>
      <c r="B29" t="s">
        <v>182</v>
      </c>
    </row>
    <row r="30" spans="1:2" x14ac:dyDescent="0.3">
      <c r="A30" t="s">
        <v>183</v>
      </c>
      <c r="B30" s="13" t="s">
        <v>79</v>
      </c>
    </row>
    <row r="31" spans="1:2" x14ac:dyDescent="0.3">
      <c r="A31" t="s">
        <v>184</v>
      </c>
      <c r="B31" s="13" t="s">
        <v>137</v>
      </c>
    </row>
    <row r="32" spans="1:2" x14ac:dyDescent="0.3">
      <c r="A32" t="s">
        <v>66</v>
      </c>
      <c r="B32" s="13" t="s">
        <v>185</v>
      </c>
    </row>
    <row r="33" spans="1:2" x14ac:dyDescent="0.3">
      <c r="A33" t="s">
        <v>71</v>
      </c>
      <c r="B33" s="13" t="s">
        <v>186</v>
      </c>
    </row>
    <row r="34" spans="1:2" x14ac:dyDescent="0.3">
      <c r="A34" t="s">
        <v>187</v>
      </c>
      <c r="B34" s="13" t="s">
        <v>188</v>
      </c>
    </row>
    <row r="35" spans="1:2" x14ac:dyDescent="0.3">
      <c r="A35" t="s">
        <v>189</v>
      </c>
      <c r="B35" t="s">
        <v>117</v>
      </c>
    </row>
    <row r="36" spans="1:2" x14ac:dyDescent="0.3">
      <c r="A36" t="s">
        <v>74</v>
      </c>
      <c r="B36" s="13" t="s">
        <v>90</v>
      </c>
    </row>
    <row r="37" spans="1:2" x14ac:dyDescent="0.3">
      <c r="A37" t="s">
        <v>49</v>
      </c>
      <c r="B37" t="s">
        <v>190</v>
      </c>
    </row>
    <row r="38" spans="1:2" x14ac:dyDescent="0.3">
      <c r="A38" t="s">
        <v>191</v>
      </c>
      <c r="B38" t="s">
        <v>192</v>
      </c>
    </row>
    <row r="39" spans="1:2" x14ac:dyDescent="0.3">
      <c r="A39" t="s">
        <v>89</v>
      </c>
      <c r="B39" s="13" t="s">
        <v>193</v>
      </c>
    </row>
    <row r="40" spans="1:2" x14ac:dyDescent="0.3">
      <c r="A40" t="s">
        <v>194</v>
      </c>
      <c r="B40" t="s">
        <v>195</v>
      </c>
    </row>
    <row r="41" spans="1:2" x14ac:dyDescent="0.3">
      <c r="A41" t="s">
        <v>78</v>
      </c>
      <c r="B41" s="13" t="s">
        <v>196</v>
      </c>
    </row>
    <row r="42" spans="1:2" x14ac:dyDescent="0.3">
      <c r="A42" t="s">
        <v>197</v>
      </c>
      <c r="B42" s="13" t="s">
        <v>198</v>
      </c>
    </row>
    <row r="43" spans="1:2" x14ac:dyDescent="0.3">
      <c r="A43" t="s">
        <v>53</v>
      </c>
      <c r="B43" t="s">
        <v>199</v>
      </c>
    </row>
    <row r="44" spans="1:2" x14ac:dyDescent="0.3">
      <c r="A44" t="s">
        <v>72</v>
      </c>
      <c r="B44" t="s">
        <v>120</v>
      </c>
    </row>
    <row r="45" spans="1:2" x14ac:dyDescent="0.3">
      <c r="A45" t="s">
        <v>36</v>
      </c>
      <c r="B45" t="s">
        <v>113</v>
      </c>
    </row>
    <row r="46" spans="1:2" x14ac:dyDescent="0.3">
      <c r="A46" t="s">
        <v>43</v>
      </c>
      <c r="B46" t="s">
        <v>125</v>
      </c>
    </row>
    <row r="47" spans="1:2" x14ac:dyDescent="0.3">
      <c r="A47" t="s">
        <v>82</v>
      </c>
      <c r="B47" s="13" t="s">
        <v>200</v>
      </c>
    </row>
    <row r="48" spans="1:2" x14ac:dyDescent="0.3">
      <c r="A48" t="s">
        <v>201</v>
      </c>
      <c r="B48" t="s">
        <v>202</v>
      </c>
    </row>
    <row r="49" spans="1:2" x14ac:dyDescent="0.3">
      <c r="A49" t="s">
        <v>70</v>
      </c>
      <c r="B49" t="s">
        <v>203</v>
      </c>
    </row>
    <row r="50" spans="1:2" x14ac:dyDescent="0.3">
      <c r="A50" t="s">
        <v>204</v>
      </c>
      <c r="B50" t="s">
        <v>205</v>
      </c>
    </row>
    <row r="51" spans="1:2" x14ac:dyDescent="0.3">
      <c r="A51" t="s">
        <v>206</v>
      </c>
      <c r="B51" t="s">
        <v>207</v>
      </c>
    </row>
    <row r="52" spans="1:2" x14ac:dyDescent="0.3">
      <c r="A52" t="s">
        <v>57</v>
      </c>
      <c r="B52" s="13" t="s">
        <v>208</v>
      </c>
    </row>
    <row r="53" spans="1:2" x14ac:dyDescent="0.3">
      <c r="A53" t="s">
        <v>42</v>
      </c>
      <c r="B53" s="13" t="s">
        <v>209</v>
      </c>
    </row>
    <row r="54" spans="1:2" x14ac:dyDescent="0.3">
      <c r="A54" t="s">
        <v>34</v>
      </c>
      <c r="B54" s="13" t="s">
        <v>79</v>
      </c>
    </row>
    <row r="55" spans="1:2" x14ac:dyDescent="0.3">
      <c r="A55" t="s">
        <v>210</v>
      </c>
      <c r="B55" s="13" t="s">
        <v>211</v>
      </c>
    </row>
    <row r="56" spans="1:2" x14ac:dyDescent="0.3">
      <c r="A56" t="s">
        <v>212</v>
      </c>
      <c r="B56" s="13" t="s">
        <v>213</v>
      </c>
    </row>
    <row r="57" spans="1:2" x14ac:dyDescent="0.3">
      <c r="A57" t="s">
        <v>48</v>
      </c>
      <c r="B57" s="13" t="s">
        <v>214</v>
      </c>
    </row>
    <row r="58" spans="1:2" x14ac:dyDescent="0.3">
      <c r="A58" t="s">
        <v>45</v>
      </c>
      <c r="B58" t="s">
        <v>215</v>
      </c>
    </row>
    <row r="59" spans="1:2" x14ac:dyDescent="0.3">
      <c r="A59" t="s">
        <v>216</v>
      </c>
      <c r="B59" s="13" t="s">
        <v>217</v>
      </c>
    </row>
    <row r="60" spans="1:2" x14ac:dyDescent="0.3">
      <c r="A60" t="s">
        <v>218</v>
      </c>
      <c r="B60" s="13" t="s">
        <v>219</v>
      </c>
    </row>
    <row r="61" spans="1:2" x14ac:dyDescent="0.3">
      <c r="A61" t="s">
        <v>220</v>
      </c>
      <c r="B61" s="13" t="s">
        <v>221</v>
      </c>
    </row>
    <row r="62" spans="1:2" x14ac:dyDescent="0.3">
      <c r="A62" t="s">
        <v>222</v>
      </c>
      <c r="B62" s="13" t="s">
        <v>223</v>
      </c>
    </row>
    <row r="63" spans="1:2" x14ac:dyDescent="0.3">
      <c r="A63" s="14" t="s">
        <v>224</v>
      </c>
      <c r="B63" s="13" t="s">
        <v>225</v>
      </c>
    </row>
    <row r="64" spans="1:2" x14ac:dyDescent="0.3">
      <c r="A64" t="s">
        <v>46</v>
      </c>
      <c r="B64" t="s">
        <v>140</v>
      </c>
    </row>
  </sheetData>
  <dataValidations count="1">
    <dataValidation type="textLength" operator="lessThanOrEqual" allowBlank="1" showInputMessage="1" showErrorMessage="1" errorTitle="Length Exceeded" error="This value must be less than or equal to 100 characters long." promptTitle="Text" prompt="Maximum Length: 100 characters." sqref="B44:B47" xr:uid="{21E07FD0-27F7-4173-AD6B-4A02EE7C7EB2}">
      <formula1>100</formula1>
    </dataValidation>
  </dataValidations>
  <hyperlinks>
    <hyperlink ref="B28" r:id="rId1" xr:uid="{E52A63ED-E81B-421B-8117-3ACDC7077905}"/>
    <hyperlink ref="B29" r:id="rId2" xr:uid="{D4D1C2F3-8036-4C1A-8321-F233E9FA3D0C}"/>
    <hyperlink ref="B30" r:id="rId3" xr:uid="{76EC029D-26E9-447F-9FCA-CFEA035570AB}"/>
    <hyperlink ref="B31" r:id="rId4" xr:uid="{9C4C6C7A-1637-486C-BC1E-78C1CB0AAB25}"/>
    <hyperlink ref="B32" r:id="rId5" xr:uid="{E840E093-C913-402C-9ADD-40D732190794}"/>
    <hyperlink ref="B33" r:id="rId6" xr:uid="{BC0821F5-C6B1-4EBC-9DE9-0AEAAC3FF0BC}"/>
    <hyperlink ref="B34" r:id="rId7" xr:uid="{1E6B7ECB-9B5D-4A14-8E76-BA739B49B146}"/>
    <hyperlink ref="B24" r:id="rId8" xr:uid="{BF7AE626-EEC7-4C87-B302-AEF7D36B1DA7}"/>
    <hyperlink ref="B36" r:id="rId9" xr:uid="{1152C2BB-42EE-445B-AD21-7E9925A64E65}"/>
    <hyperlink ref="B39" r:id="rId10" xr:uid="{B5FF7B6F-5BFE-4769-BFED-68E0CBFEB688}"/>
    <hyperlink ref="B41" r:id="rId11" xr:uid="{9E2DA123-FEC4-49C5-8E16-087C5475CD49}"/>
    <hyperlink ref="B42" r:id="rId12" xr:uid="{627DC58C-F098-418B-87AA-5A42CD9914D9}"/>
    <hyperlink ref="B47" r:id="rId13" xr:uid="{F2560EB4-BA4C-45C4-AF92-B54BDC4F9BA4}"/>
    <hyperlink ref="B52" r:id="rId14" xr:uid="{F98368DF-68CA-433D-ABCE-25B82CB4F728}"/>
    <hyperlink ref="B53" r:id="rId15" xr:uid="{7DF4F725-BB7F-49BD-B0A5-3676400E5EED}"/>
    <hyperlink ref="B54" r:id="rId16" xr:uid="{A8192D55-A9A7-47E5-BA36-34E8AF139DFE}"/>
    <hyperlink ref="B55" r:id="rId17" xr:uid="{697987B0-3BFF-42BC-B66B-71AB717AA1DC}"/>
    <hyperlink ref="B56" r:id="rId18" xr:uid="{4E872ED0-8A38-4C12-B664-26CB2C52BBE6}"/>
    <hyperlink ref="B57" r:id="rId19" xr:uid="{29C9CFA3-155F-44F0-993E-C8FF632B9CAE}"/>
    <hyperlink ref="B59" r:id="rId20" xr:uid="{8B20987A-8964-4E7D-970E-E38B19DAA5C0}"/>
    <hyperlink ref="B60" r:id="rId21" xr:uid="{40CE7692-0446-49DE-A7B9-E617D3B86DB5}"/>
    <hyperlink ref="B61" r:id="rId22" xr:uid="{3886134B-EA39-4BC8-B978-6E7A6215913B}"/>
    <hyperlink ref="B62" r:id="rId23" xr:uid="{E5C2833A-3E13-462F-AC16-74926A227730}"/>
    <hyperlink ref="B63" r:id="rId24" xr:uid="{1CFA5CBB-6076-43DD-ABF6-804BBC81F35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C08D-CDEC-436D-951A-5CC19859CCB2}">
  <sheetPr codeName="Sheet2"/>
  <dimension ref="A1:I32"/>
  <sheetViews>
    <sheetView topLeftCell="C1" workbookViewId="0">
      <selection activeCell="H1" sqref="H1"/>
    </sheetView>
  </sheetViews>
  <sheetFormatPr defaultRowHeight="14.4" x14ac:dyDescent="0.3"/>
  <cols>
    <col min="1" max="1" width="23.5546875" bestFit="1" customWidth="1"/>
    <col min="2" max="2" width="20.5546875" bestFit="1" customWidth="1"/>
    <col min="3" max="3" width="35.44140625" customWidth="1"/>
    <col min="4" max="4" width="51.44140625" customWidth="1"/>
    <col min="5" max="5" width="14.5546875" bestFit="1" customWidth="1"/>
    <col min="8" max="8" width="125.5546875" bestFit="1" customWidth="1"/>
  </cols>
  <sheetData>
    <row r="1" spans="1:9" x14ac:dyDescent="0.3">
      <c r="A1" s="4" t="s">
        <v>7</v>
      </c>
      <c r="B1" s="5" t="s">
        <v>226</v>
      </c>
      <c r="C1" s="5" t="s">
        <v>18</v>
      </c>
      <c r="D1" s="5" t="s">
        <v>227</v>
      </c>
      <c r="E1" s="4" t="s">
        <v>3</v>
      </c>
      <c r="H1" s="13" t="s">
        <v>228</v>
      </c>
      <c r="I1" s="24" t="s">
        <v>229</v>
      </c>
    </row>
    <row r="2" spans="1:9" x14ac:dyDescent="0.3">
      <c r="A2" t="s">
        <v>104</v>
      </c>
      <c r="B2" t="s">
        <v>230</v>
      </c>
      <c r="C2" s="6" t="s">
        <v>100</v>
      </c>
      <c r="D2" t="s">
        <v>33</v>
      </c>
      <c r="E2" s="7" t="s">
        <v>91</v>
      </c>
      <c r="H2" s="13" t="s">
        <v>228</v>
      </c>
      <c r="I2" s="23" t="s">
        <v>231</v>
      </c>
    </row>
    <row r="3" spans="1:9" x14ac:dyDescent="0.3">
      <c r="A3" t="s">
        <v>103</v>
      </c>
      <c r="B3" t="s">
        <v>216</v>
      </c>
      <c r="C3" t="s">
        <v>232</v>
      </c>
      <c r="D3" t="s">
        <v>60</v>
      </c>
      <c r="E3" s="7" t="s">
        <v>233</v>
      </c>
    </row>
    <row r="4" spans="1:9" x14ac:dyDescent="0.3">
      <c r="A4" t="s">
        <v>100</v>
      </c>
      <c r="B4" t="s">
        <v>220</v>
      </c>
      <c r="C4" s="6" t="s">
        <v>60</v>
      </c>
      <c r="D4" s="23" t="s">
        <v>27</v>
      </c>
      <c r="E4" t="s">
        <v>234</v>
      </c>
    </row>
    <row r="5" spans="1:9" x14ac:dyDescent="0.3">
      <c r="A5" t="s">
        <v>105</v>
      </c>
      <c r="B5" t="s">
        <v>224</v>
      </c>
      <c r="C5" t="s">
        <v>26</v>
      </c>
      <c r="D5" t="s">
        <v>37</v>
      </c>
      <c r="E5" t="s">
        <v>235</v>
      </c>
      <c r="H5" s="13" t="s">
        <v>228</v>
      </c>
    </row>
    <row r="6" spans="1:9" x14ac:dyDescent="0.3">
      <c r="A6" t="s">
        <v>101</v>
      </c>
      <c r="B6" t="s">
        <v>236</v>
      </c>
      <c r="C6" t="s">
        <v>237</v>
      </c>
      <c r="D6" t="s">
        <v>75</v>
      </c>
    </row>
    <row r="7" spans="1:9" x14ac:dyDescent="0.3">
      <c r="A7" t="s">
        <v>102</v>
      </c>
      <c r="B7" t="s">
        <v>222</v>
      </c>
      <c r="C7" s="6" t="s">
        <v>103</v>
      </c>
      <c r="D7" t="s">
        <v>47</v>
      </c>
    </row>
    <row r="8" spans="1:9" x14ac:dyDescent="0.3">
      <c r="A8" t="s">
        <v>238</v>
      </c>
      <c r="C8" t="s">
        <v>104</v>
      </c>
      <c r="D8" t="s">
        <v>239</v>
      </c>
      <c r="H8" s="13" t="s">
        <v>240</v>
      </c>
    </row>
    <row r="9" spans="1:9" x14ac:dyDescent="0.3">
      <c r="C9" t="s">
        <v>241</v>
      </c>
      <c r="D9" t="s">
        <v>26</v>
      </c>
    </row>
    <row r="10" spans="1:9" x14ac:dyDescent="0.3">
      <c r="C10" t="s">
        <v>242</v>
      </c>
      <c r="D10" s="23" t="s">
        <v>25</v>
      </c>
    </row>
    <row r="11" spans="1:9" x14ac:dyDescent="0.3">
      <c r="C11" t="s">
        <v>243</v>
      </c>
      <c r="D11" s="23" t="s">
        <v>30</v>
      </c>
    </row>
    <row r="12" spans="1:9" x14ac:dyDescent="0.3">
      <c r="C12" t="s">
        <v>77</v>
      </c>
      <c r="D12" t="s">
        <v>31</v>
      </c>
    </row>
    <row r="13" spans="1:9" x14ac:dyDescent="0.3">
      <c r="C13" t="s">
        <v>105</v>
      </c>
      <c r="D13" t="s">
        <v>52</v>
      </c>
    </row>
    <row r="14" spans="1:9" x14ac:dyDescent="0.3">
      <c r="C14" t="s">
        <v>244</v>
      </c>
      <c r="D14" t="s">
        <v>28</v>
      </c>
    </row>
    <row r="15" spans="1:9" x14ac:dyDescent="0.3">
      <c r="C15" t="s">
        <v>245</v>
      </c>
      <c r="D15" t="s">
        <v>246</v>
      </c>
    </row>
    <row r="16" spans="1:9" x14ac:dyDescent="0.3">
      <c r="C16" t="s">
        <v>247</v>
      </c>
      <c r="D16" t="s">
        <v>29</v>
      </c>
    </row>
    <row r="17" spans="3:4" x14ac:dyDescent="0.3">
      <c r="C17" s="6" t="s">
        <v>248</v>
      </c>
      <c r="D17" s="23" t="s">
        <v>50</v>
      </c>
    </row>
    <row r="18" spans="3:4" x14ac:dyDescent="0.3">
      <c r="C18" s="6" t="s">
        <v>33</v>
      </c>
      <c r="D18" s="23" t="s">
        <v>23</v>
      </c>
    </row>
    <row r="19" spans="3:4" x14ac:dyDescent="0.3">
      <c r="C19" t="s">
        <v>249</v>
      </c>
    </row>
    <row r="20" spans="3:4" x14ac:dyDescent="0.3">
      <c r="C20" t="s">
        <v>59</v>
      </c>
    </row>
    <row r="21" spans="3:4" x14ac:dyDescent="0.3">
      <c r="C21" t="s">
        <v>250</v>
      </c>
    </row>
    <row r="22" spans="3:4" x14ac:dyDescent="0.3">
      <c r="C22" t="s">
        <v>251</v>
      </c>
    </row>
    <row r="23" spans="3:4" x14ac:dyDescent="0.3">
      <c r="C23" t="s">
        <v>252</v>
      </c>
    </row>
    <row r="24" spans="3:4" x14ac:dyDescent="0.3">
      <c r="C24" t="s">
        <v>253</v>
      </c>
    </row>
    <row r="25" spans="3:4" x14ac:dyDescent="0.3">
      <c r="C25" t="s">
        <v>254</v>
      </c>
    </row>
    <row r="26" spans="3:4" x14ac:dyDescent="0.3">
      <c r="C26" t="s">
        <v>255</v>
      </c>
    </row>
    <row r="27" spans="3:4" x14ac:dyDescent="0.3">
      <c r="C27" t="s">
        <v>239</v>
      </c>
    </row>
    <row r="28" spans="3:4" x14ac:dyDescent="0.3">
      <c r="C28" t="s">
        <v>256</v>
      </c>
    </row>
    <row r="29" spans="3:4" x14ac:dyDescent="0.3">
      <c r="C29" t="s">
        <v>41</v>
      </c>
    </row>
    <row r="30" spans="3:4" x14ac:dyDescent="0.3">
      <c r="C30" t="s">
        <v>86</v>
      </c>
    </row>
    <row r="31" spans="3:4" x14ac:dyDescent="0.3">
      <c r="C31" t="s">
        <v>257</v>
      </c>
    </row>
    <row r="32" spans="3:4" x14ac:dyDescent="0.3">
      <c r="C32" t="s">
        <v>258</v>
      </c>
    </row>
  </sheetData>
  <hyperlinks>
    <hyperlink ref="H1" r:id="rId1" xr:uid="{17D90F42-9EB5-4547-B075-B4E9BCE9B2B4}"/>
    <hyperlink ref="H2" r:id="rId2" display="https://endava-my.sharepoint.com/personal/andrada_plesa_endava_com/Documents/Desktop/opps last version/[Ro Opps.xlsm]Other Sources" xr:uid="{7D088CE2-A4F7-4FD9-90AC-49065792985B}"/>
    <hyperlink ref="H5" r:id="rId3" display="https://endava-my.sharepoint.com/personal/mioara_craciun_endava_com/Documents/Desktop/[Ro Opps.xlsm]Other Sources" xr:uid="{A63E7E75-7946-4FFA-AEBE-1B816F70CA31}"/>
    <hyperlink ref="H8" r:id="rId4" xr:uid="{3293A23E-7FC8-4F91-95B6-F3BB9054726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F194A-1F8B-4B42-A737-4AB3C1A05962}">
  <sheetPr codeName="Sheet3"/>
  <dimension ref="A1:V10"/>
  <sheetViews>
    <sheetView topLeftCell="D1" workbookViewId="0">
      <selection activeCell="D2" sqref="D2:D4"/>
    </sheetView>
  </sheetViews>
  <sheetFormatPr defaultColWidth="8.5546875" defaultRowHeight="14.4" x14ac:dyDescent="0.3"/>
  <cols>
    <col min="1" max="1" width="37.5546875" style="27" hidden="1" customWidth="1"/>
    <col min="2" max="2" width="103.44140625" style="26" hidden="1" customWidth="1"/>
    <col min="3" max="3" width="29.44140625" style="30" hidden="1" customWidth="1"/>
    <col min="4" max="4" width="33.44140625" style="26" bestFit="1" customWidth="1"/>
    <col min="5" max="7" width="21" style="26" customWidth="1"/>
    <col min="8" max="10" width="14" style="26" customWidth="1"/>
    <col min="11" max="11" width="65.5546875" style="26" customWidth="1"/>
    <col min="12" max="12" width="20.5546875" style="26" customWidth="1"/>
    <col min="13" max="14" width="21" style="26" customWidth="1"/>
    <col min="15" max="15" width="21" style="29" customWidth="1"/>
    <col min="16" max="16" width="21" style="26" customWidth="1"/>
    <col min="17" max="17" width="21" style="27" customWidth="1"/>
    <col min="18" max="20" width="21" style="26" customWidth="1"/>
    <col min="21" max="21" width="21" style="28" customWidth="1"/>
    <col min="22" max="22" width="16.5546875" style="27" customWidth="1"/>
    <col min="23" max="16384" width="8.5546875" style="27"/>
  </cols>
  <sheetData>
    <row r="1" spans="1:22" ht="14.1" customHeight="1" x14ac:dyDescent="0.3">
      <c r="A1" s="8" t="s">
        <v>259</v>
      </c>
      <c r="B1" s="8" t="s">
        <v>260</v>
      </c>
      <c r="C1" s="8" t="s">
        <v>261</v>
      </c>
      <c r="D1" s="8" t="s">
        <v>262</v>
      </c>
      <c r="E1" s="8" t="s">
        <v>263</v>
      </c>
      <c r="F1" s="8" t="s">
        <v>264</v>
      </c>
      <c r="G1" s="8" t="s">
        <v>265</v>
      </c>
      <c r="H1" s="8" t="s">
        <v>266</v>
      </c>
      <c r="I1" s="8" t="s">
        <v>267</v>
      </c>
      <c r="J1" s="8" t="s">
        <v>268</v>
      </c>
      <c r="K1" s="8" t="s">
        <v>269</v>
      </c>
      <c r="L1" s="8" t="s">
        <v>270</v>
      </c>
      <c r="M1" s="8" t="s">
        <v>271</v>
      </c>
      <c r="N1" s="8" t="s">
        <v>272</v>
      </c>
      <c r="O1" s="8" t="s">
        <v>273</v>
      </c>
      <c r="P1" s="8" t="s">
        <v>274</v>
      </c>
      <c r="Q1" s="8" t="s">
        <v>275</v>
      </c>
      <c r="R1" s="8" t="s">
        <v>276</v>
      </c>
      <c r="S1" s="8" t="s">
        <v>277</v>
      </c>
      <c r="T1" s="8" t="s">
        <v>278</v>
      </c>
      <c r="U1" s="33" t="s">
        <v>279</v>
      </c>
      <c r="V1" s="8" t="s">
        <v>280</v>
      </c>
    </row>
    <row r="2" spans="1:22" x14ac:dyDescent="0.3">
      <c r="D2" s="31" t="s">
        <v>312</v>
      </c>
      <c r="E2" s="31"/>
      <c r="F2" s="31"/>
      <c r="G2" s="31"/>
      <c r="H2" s="39" t="s">
        <v>64</v>
      </c>
      <c r="I2" s="31" t="s">
        <v>311</v>
      </c>
      <c r="J2" s="38" t="s">
        <v>107</v>
      </c>
      <c r="K2" s="31"/>
      <c r="L2" s="31"/>
      <c r="M2" s="31"/>
      <c r="N2" s="31"/>
      <c r="O2" s="32"/>
      <c r="P2" s="31"/>
      <c r="Q2" s="8"/>
      <c r="R2" s="31"/>
      <c r="S2" s="31"/>
      <c r="T2" s="31"/>
      <c r="U2" s="33"/>
      <c r="V2" s="34" t="s">
        <v>296</v>
      </c>
    </row>
    <row r="3" spans="1:22" x14ac:dyDescent="0.3">
      <c r="D3" s="31" t="s">
        <v>313</v>
      </c>
      <c r="E3" s="31"/>
      <c r="F3" s="31"/>
      <c r="G3" s="31"/>
      <c r="H3" s="39" t="s">
        <v>64</v>
      </c>
      <c r="I3" s="31" t="s">
        <v>311</v>
      </c>
      <c r="J3" s="38" t="s">
        <v>107</v>
      </c>
      <c r="K3" s="31"/>
      <c r="L3" s="31"/>
      <c r="M3" s="31"/>
      <c r="N3" s="31"/>
      <c r="O3" s="32"/>
      <c r="P3" s="31"/>
      <c r="Q3" s="8"/>
      <c r="R3" s="31"/>
      <c r="S3" s="31"/>
      <c r="T3" s="31"/>
      <c r="U3" s="33"/>
      <c r="V3" s="34" t="s">
        <v>296</v>
      </c>
    </row>
    <row r="4" spans="1:22" x14ac:dyDescent="0.3">
      <c r="D4" s="31" t="s">
        <v>314</v>
      </c>
      <c r="E4" s="31"/>
      <c r="F4" s="31"/>
      <c r="G4" s="31"/>
      <c r="H4" s="8" t="s">
        <v>40</v>
      </c>
      <c r="I4" s="31" t="s">
        <v>311</v>
      </c>
      <c r="J4" s="31" t="s">
        <v>32</v>
      </c>
      <c r="K4" s="31"/>
      <c r="L4" s="31"/>
      <c r="M4" s="31"/>
      <c r="N4" s="31"/>
      <c r="O4" s="32"/>
      <c r="P4" s="31"/>
      <c r="Q4" s="8"/>
      <c r="R4" s="31"/>
      <c r="S4" s="31"/>
      <c r="T4" s="31"/>
      <c r="U4" s="33"/>
      <c r="V4" s="34" t="s">
        <v>289</v>
      </c>
    </row>
    <row r="5" spans="1:22" x14ac:dyDescent="0.3">
      <c r="D5" s="31" t="s">
        <v>315</v>
      </c>
      <c r="E5" s="31"/>
      <c r="F5" s="31"/>
      <c r="G5" s="31"/>
      <c r="H5" s="8" t="s">
        <v>84</v>
      </c>
      <c r="I5" s="31" t="s">
        <v>311</v>
      </c>
      <c r="J5" s="31" t="s">
        <v>32</v>
      </c>
      <c r="K5" s="31"/>
      <c r="L5" s="31"/>
      <c r="M5" s="31"/>
      <c r="N5" s="31"/>
      <c r="O5" s="32"/>
      <c r="P5" s="31"/>
      <c r="Q5" s="8"/>
      <c r="R5" s="31"/>
      <c r="S5" s="31"/>
      <c r="T5" s="31"/>
      <c r="U5" s="33"/>
      <c r="V5" s="34" t="s">
        <v>54</v>
      </c>
    </row>
    <row r="6" spans="1:22" x14ac:dyDescent="0.3">
      <c r="D6" s="31" t="s">
        <v>316</v>
      </c>
      <c r="E6" s="31"/>
      <c r="F6" s="31"/>
      <c r="G6" s="31"/>
      <c r="H6" s="8" t="s">
        <v>64</v>
      </c>
      <c r="I6" s="31" t="s">
        <v>311</v>
      </c>
      <c r="J6" s="31" t="s">
        <v>32</v>
      </c>
      <c r="K6" s="31"/>
      <c r="L6" s="31"/>
      <c r="M6" s="31"/>
      <c r="N6" s="31"/>
      <c r="O6" s="32"/>
      <c r="P6" s="31"/>
      <c r="Q6" s="8"/>
      <c r="R6" s="31"/>
      <c r="S6" s="31"/>
      <c r="T6" s="31"/>
      <c r="U6" s="33"/>
      <c r="V6" s="34" t="s">
        <v>51</v>
      </c>
    </row>
    <row r="7" spans="1:22" x14ac:dyDescent="0.3">
      <c r="D7" s="31" t="s">
        <v>317</v>
      </c>
      <c r="E7" s="31"/>
      <c r="F7" s="31"/>
      <c r="G7" s="31"/>
      <c r="H7" s="8" t="s">
        <v>76</v>
      </c>
      <c r="I7" s="31" t="s">
        <v>311</v>
      </c>
      <c r="J7" s="31" t="s">
        <v>69</v>
      </c>
      <c r="K7" s="31"/>
      <c r="L7" s="31"/>
      <c r="M7" s="31"/>
      <c r="N7" s="31"/>
      <c r="O7" s="32"/>
      <c r="P7" s="31"/>
      <c r="Q7" s="8"/>
      <c r="R7" s="31"/>
      <c r="S7" s="31"/>
      <c r="T7" s="31"/>
      <c r="U7" s="33"/>
      <c r="V7" s="34" t="s">
        <v>55</v>
      </c>
    </row>
    <row r="8" spans="1:22" x14ac:dyDescent="0.3">
      <c r="D8" s="31" t="s">
        <v>318</v>
      </c>
      <c r="E8" s="31"/>
      <c r="F8" s="31"/>
      <c r="G8" s="31"/>
      <c r="H8" s="8" t="s">
        <v>64</v>
      </c>
      <c r="I8" s="31" t="s">
        <v>311</v>
      </c>
      <c r="J8" s="31" t="s">
        <v>32</v>
      </c>
      <c r="K8" s="31"/>
      <c r="L8" s="31"/>
      <c r="M8" s="31"/>
      <c r="N8" s="31"/>
      <c r="O8" s="32"/>
      <c r="P8" s="31"/>
      <c r="Q8" s="8"/>
      <c r="R8" s="31"/>
      <c r="S8" s="31"/>
      <c r="T8" s="31"/>
      <c r="U8" s="33"/>
      <c r="V8" s="34" t="s">
        <v>54</v>
      </c>
    </row>
    <row r="9" spans="1:22" x14ac:dyDescent="0.3">
      <c r="D9" s="31" t="s">
        <v>319</v>
      </c>
      <c r="E9" s="31"/>
      <c r="F9" s="31"/>
      <c r="G9" s="31"/>
      <c r="H9" s="39" t="s">
        <v>64</v>
      </c>
      <c r="I9" s="31" t="s">
        <v>311</v>
      </c>
      <c r="J9" s="38" t="s">
        <v>107</v>
      </c>
      <c r="K9" s="31"/>
      <c r="L9" s="31"/>
      <c r="M9" s="31"/>
      <c r="N9" s="31"/>
      <c r="O9" s="32"/>
      <c r="P9" s="31"/>
      <c r="Q9" s="8"/>
      <c r="R9" s="31"/>
      <c r="S9" s="31"/>
      <c r="T9" s="31"/>
      <c r="U9" s="33"/>
      <c r="V9" s="34" t="s">
        <v>51</v>
      </c>
    </row>
    <row r="10" spans="1:22" x14ac:dyDescent="0.3">
      <c r="D10" s="31" t="s">
        <v>320</v>
      </c>
      <c r="E10" s="31"/>
      <c r="F10" s="31"/>
      <c r="G10" s="31"/>
      <c r="H10" s="8" t="s">
        <v>84</v>
      </c>
      <c r="I10" s="31" t="s">
        <v>311</v>
      </c>
      <c r="J10" s="31" t="s">
        <v>107</v>
      </c>
      <c r="K10" s="31"/>
      <c r="L10" s="31"/>
      <c r="M10" s="31"/>
      <c r="N10" s="31"/>
      <c r="O10" s="32"/>
      <c r="P10" s="31"/>
      <c r="Q10" s="8"/>
      <c r="R10" s="31"/>
      <c r="S10" s="31"/>
      <c r="T10" s="31"/>
      <c r="U10" s="33"/>
      <c r="V10" s="40" t="s">
        <v>51</v>
      </c>
    </row>
  </sheetData>
  <phoneticPr fontId="5" type="noConversion"/>
  <conditionalFormatting sqref="D1:D1048576">
    <cfRule type="duplicateValues" dxfId="3" priority="45"/>
  </conditionalFormatting>
  <dataValidations xWindow="758" yWindow="607" count="13">
    <dataValidation type="textLength" operator="lessThanOrEqual" allowBlank="1" showInputMessage="1" showErrorMessage="1" errorTitle="Length Exceeded" error="This value must be less than or equal to 200 characters long." promptTitle="Text" prompt="Maximum Length: 200 characters." sqref="D2:D1048576" xr:uid="{65D5F943-AF10-4048-9CA9-FB35B9D70149}">
      <formula1>200</formula1>
    </dataValidation>
    <dataValidation type="textLength" operator="lessThanOrEqual" allowBlank="1" showInputMessage="1" showErrorMessage="1" errorTitle="Length Exceeded" error="This value must be less than or equal to 100 characters long." promptTitle="Text" prompt="Maximum Length: 100 characters." sqref="K2:K1048576 E2:F1048576" xr:uid="{C56D7C6F-58EB-4AF3-B3E0-DFA1BA7DC711}">
      <formula1>100</formula1>
    </dataValidation>
    <dataValidation showInputMessage="1" showErrorMessage="1" error=" " promptTitle="Lookup (required)" prompt="This Discipline record must already exist in Microsoft Dynamics 365 or in this source file." sqref="J2:J1048576" xr:uid="{7480C24F-35DA-41A2-9082-7969D1D7CF1E}"/>
    <dataValidation showInputMessage="1" showErrorMessage="1" error=" " promptTitle="Lookup (required)" prompt="This Main Role record must already exist in Microsoft Dynamics 365 or in this source file." sqref="L2:L1048576" xr:uid="{3403B528-4F30-4711-89B6-ED976BBB42B8}"/>
    <dataValidation allowBlank="1" showInputMessage="1" showErrorMessage="1" error=" " promptTitle="Lookup" prompt="This Current BU record must already exist in Microsoft Dynamics 365 or in this source file." sqref="H2:H1048576" xr:uid="{2F60090F-1464-4073-BA1F-C94A40ECAB96}"/>
    <dataValidation showInputMessage="1" showErrorMessage="1" error=" " promptTitle="Lookup (required)" prompt="This Grade record must already exist in Microsoft Dynamics 365 or in this source file." sqref="I2:I1048576" xr:uid="{6BD1E89C-3027-4AEE-ADEF-1EDBCA712CE2}"/>
    <dataValidation type="date" operator="greaterThanOrEqual" allowBlank="1" showInputMessage="1" showErrorMessage="1" errorTitle="Invalid Date" error="(Do Not Modify) Modified On must be in the correct date and time format." promptTitle="Date and time" prompt=" " sqref="C2:C1048576" xr:uid="{2E1AF322-DCCB-4DB1-B937-31EAB90AE6ED}">
      <formula1>1</formula1>
    </dataValidation>
    <dataValidation allowBlank="1" showInputMessage="1" showErrorMessage="1" error=" " promptTitle="Lookup" prompt="This Region/Sector record must already exist in Microsoft Dynamics 365 or in this source file." sqref="G2:G1048576" xr:uid="{16996F48-7D91-49B6-879D-BB891BBF9CC9}"/>
    <dataValidation type="textLength" operator="lessThanOrEqual" allowBlank="1" showInputMessage="1" showErrorMessage="1" errorTitle="Length Exceeded" error="This value must be less than or equal to 4000 characters long." promptTitle="Text" prompt="Maximum Length: 4000 characters." sqref="P2:P1048576 M2:M1048576 R2:R1048576" xr:uid="{8BC090EC-1DE0-42DF-9EC8-84289B4CC70B}">
      <formula1>4000</formula1>
    </dataValidation>
    <dataValidation type="date" operator="greaterThanOrEqual" allowBlank="1" showInputMessage="1" showErrorMessage="1" errorTitle="Invalid Date" error="CV Last Modified On must be in the correct date format." promptTitle="Date" prompt=" " sqref="O2:O1048576" xr:uid="{11E6F697-46BD-4299-BA63-B819F9FAC789}">
      <formula1>1</formula1>
    </dataValidation>
    <dataValidation allowBlank="1" showInputMessage="1" showErrorMessage="1" error=" " promptTitle="MultiSelect Option set" prompt="Enter Option Set values as semicolon separated." sqref="Q2:Q1048576" xr:uid="{C8639922-88E2-4D6D-8126-C0209580A542}"/>
    <dataValidation allowBlank="1" showInputMessage="1" showErrorMessage="1" error=" " promptTitle="Lookup" prompt="This Aspirational Role record must already exist in Microsoft Dynamics 365 or in this source file." sqref="S2:S1048576" xr:uid="{BF8F3552-AD21-46EF-A0BE-F02EACADF7F5}"/>
    <dataValidation type="date" operator="greaterThanOrEqual" allowBlank="1" showInputMessage="1" showErrorMessage="1" errorTitle="Invalid Date" error="Joining Date must be in the correct date format." promptTitle="Date" prompt=" " sqref="U2:U1048576" xr:uid="{2A2782CB-6245-4657-8370-A32ABB732DFE}">
      <formula1>1</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9CC9-ECAB-47DA-BFB0-6EA8578F86D1}">
  <sheetPr codeName="Sheet5"/>
  <dimension ref="A1:H61"/>
  <sheetViews>
    <sheetView topLeftCell="A24" workbookViewId="0">
      <selection activeCell="G79" sqref="G79"/>
    </sheetView>
  </sheetViews>
  <sheetFormatPr defaultRowHeight="14.4" x14ac:dyDescent="0.3"/>
  <cols>
    <col min="1" max="1" width="23.5546875" bestFit="1" customWidth="1"/>
    <col min="2" max="2" width="31.44140625" bestFit="1" customWidth="1"/>
    <col min="3" max="3" width="20.5546875" customWidth="1"/>
    <col min="4" max="4" width="13.44140625" bestFit="1" customWidth="1"/>
    <col min="5" max="5" width="10.44140625" bestFit="1" customWidth="1"/>
    <col min="7" max="7" width="25.44140625" bestFit="1" customWidth="1"/>
    <col min="8" max="8" width="47.44140625" bestFit="1" customWidth="1"/>
  </cols>
  <sheetData>
    <row r="1" spans="1:8" x14ac:dyDescent="0.3">
      <c r="A1" s="9" t="s">
        <v>262</v>
      </c>
      <c r="B1" s="10" t="s">
        <v>263</v>
      </c>
      <c r="C1" s="10" t="s">
        <v>264</v>
      </c>
      <c r="D1" s="10" t="s">
        <v>265</v>
      </c>
      <c r="E1" s="10" t="s">
        <v>266</v>
      </c>
      <c r="F1" s="10" t="s">
        <v>267</v>
      </c>
      <c r="G1" s="10" t="s">
        <v>268</v>
      </c>
      <c r="H1" s="10" t="s">
        <v>269</v>
      </c>
    </row>
    <row r="2" spans="1:8" x14ac:dyDescent="0.3">
      <c r="A2" t="s">
        <v>146</v>
      </c>
      <c r="B2" t="s">
        <v>147</v>
      </c>
      <c r="C2">
        <v>4372</v>
      </c>
      <c r="D2" t="s">
        <v>281</v>
      </c>
      <c r="E2" t="s">
        <v>76</v>
      </c>
      <c r="F2" t="s">
        <v>282</v>
      </c>
      <c r="G2" t="s">
        <v>32</v>
      </c>
      <c r="H2" t="s">
        <v>283</v>
      </c>
    </row>
    <row r="3" spans="1:8" x14ac:dyDescent="0.3">
      <c r="A3" t="s">
        <v>148</v>
      </c>
      <c r="B3" t="s">
        <v>88</v>
      </c>
      <c r="C3">
        <v>100814</v>
      </c>
      <c r="D3" t="s">
        <v>281</v>
      </c>
      <c r="E3" t="s">
        <v>40</v>
      </c>
      <c r="F3" t="s">
        <v>282</v>
      </c>
      <c r="G3" t="s">
        <v>32</v>
      </c>
      <c r="H3" t="s">
        <v>283</v>
      </c>
    </row>
    <row r="4" spans="1:8" x14ac:dyDescent="0.3">
      <c r="A4" t="s">
        <v>149</v>
      </c>
      <c r="B4" t="s">
        <v>150</v>
      </c>
      <c r="C4">
        <v>3687</v>
      </c>
      <c r="D4" t="s">
        <v>281</v>
      </c>
      <c r="E4" t="s">
        <v>76</v>
      </c>
      <c r="F4" t="s">
        <v>282</v>
      </c>
      <c r="G4" t="s">
        <v>73</v>
      </c>
      <c r="H4" t="s">
        <v>285</v>
      </c>
    </row>
    <row r="5" spans="1:8" x14ac:dyDescent="0.3">
      <c r="A5" t="s">
        <v>67</v>
      </c>
      <c r="B5" t="s">
        <v>151</v>
      </c>
      <c r="C5">
        <v>4947</v>
      </c>
      <c r="D5" t="s">
        <v>281</v>
      </c>
      <c r="E5" t="s">
        <v>84</v>
      </c>
      <c r="F5" t="s">
        <v>282</v>
      </c>
      <c r="G5" t="s">
        <v>87</v>
      </c>
      <c r="H5" t="s">
        <v>286</v>
      </c>
    </row>
    <row r="6" spans="1:8" x14ac:dyDescent="0.3">
      <c r="A6" t="s">
        <v>67</v>
      </c>
      <c r="B6" t="s">
        <v>151</v>
      </c>
      <c r="C6">
        <v>4947</v>
      </c>
      <c r="D6" t="s">
        <v>281</v>
      </c>
      <c r="E6" t="s">
        <v>63</v>
      </c>
      <c r="F6" t="s">
        <v>282</v>
      </c>
      <c r="G6" t="s">
        <v>87</v>
      </c>
      <c r="H6" t="s">
        <v>286</v>
      </c>
    </row>
    <row r="7" spans="1:8" x14ac:dyDescent="0.3">
      <c r="A7" t="s">
        <v>67</v>
      </c>
      <c r="B7" t="s">
        <v>151</v>
      </c>
      <c r="C7">
        <v>4947</v>
      </c>
      <c r="D7" t="s">
        <v>281</v>
      </c>
      <c r="E7" t="s">
        <v>68</v>
      </c>
      <c r="F7" t="s">
        <v>282</v>
      </c>
      <c r="G7" t="s">
        <v>87</v>
      </c>
      <c r="H7" t="s">
        <v>286</v>
      </c>
    </row>
    <row r="8" spans="1:8" x14ac:dyDescent="0.3">
      <c r="A8" t="s">
        <v>152</v>
      </c>
      <c r="B8" t="s">
        <v>144</v>
      </c>
      <c r="C8">
        <v>3188</v>
      </c>
      <c r="D8" t="s">
        <v>281</v>
      </c>
      <c r="E8" t="s">
        <v>64</v>
      </c>
      <c r="F8" t="s">
        <v>284</v>
      </c>
      <c r="G8" t="s">
        <v>87</v>
      </c>
      <c r="H8" t="s">
        <v>287</v>
      </c>
    </row>
    <row r="9" spans="1:8" x14ac:dyDescent="0.3">
      <c r="A9" t="s">
        <v>152</v>
      </c>
      <c r="B9" t="s">
        <v>144</v>
      </c>
      <c r="C9">
        <v>3188</v>
      </c>
      <c r="D9" t="s">
        <v>281</v>
      </c>
      <c r="E9" t="s">
        <v>136</v>
      </c>
      <c r="F9" t="s">
        <v>284</v>
      </c>
      <c r="G9" t="s">
        <v>87</v>
      </c>
      <c r="H9" t="s">
        <v>287</v>
      </c>
    </row>
    <row r="10" spans="1:8" x14ac:dyDescent="0.3">
      <c r="A10" t="s">
        <v>65</v>
      </c>
      <c r="B10" t="s">
        <v>138</v>
      </c>
      <c r="C10">
        <v>47</v>
      </c>
      <c r="D10" t="s">
        <v>281</v>
      </c>
      <c r="E10" t="s">
        <v>76</v>
      </c>
      <c r="F10" t="s">
        <v>284</v>
      </c>
      <c r="G10" t="s">
        <v>69</v>
      </c>
      <c r="H10" t="s">
        <v>288</v>
      </c>
    </row>
    <row r="11" spans="1:8" x14ac:dyDescent="0.3">
      <c r="A11" t="s">
        <v>154</v>
      </c>
      <c r="B11" t="s">
        <v>155</v>
      </c>
      <c r="C11">
        <v>104798</v>
      </c>
      <c r="D11" t="s">
        <v>281</v>
      </c>
      <c r="E11" t="s">
        <v>68</v>
      </c>
      <c r="F11" t="s">
        <v>282</v>
      </c>
      <c r="G11" t="s">
        <v>32</v>
      </c>
      <c r="H11" t="s">
        <v>283</v>
      </c>
    </row>
    <row r="12" spans="1:8" x14ac:dyDescent="0.3">
      <c r="A12" t="s">
        <v>154</v>
      </c>
      <c r="B12" t="s">
        <v>155</v>
      </c>
      <c r="C12">
        <v>104798</v>
      </c>
      <c r="D12" t="s">
        <v>281</v>
      </c>
      <c r="E12" t="s">
        <v>84</v>
      </c>
      <c r="F12" t="s">
        <v>282</v>
      </c>
      <c r="G12" t="s">
        <v>32</v>
      </c>
      <c r="H12" t="s">
        <v>283</v>
      </c>
    </row>
    <row r="13" spans="1:8" x14ac:dyDescent="0.3">
      <c r="A13" t="s">
        <v>154</v>
      </c>
      <c r="B13" t="s">
        <v>155</v>
      </c>
      <c r="C13">
        <v>104798</v>
      </c>
      <c r="D13" t="s">
        <v>281</v>
      </c>
      <c r="E13" t="s">
        <v>63</v>
      </c>
      <c r="F13" t="s">
        <v>282</v>
      </c>
      <c r="G13" t="s">
        <v>32</v>
      </c>
      <c r="H13" t="s">
        <v>283</v>
      </c>
    </row>
    <row r="14" spans="1:8" x14ac:dyDescent="0.3">
      <c r="A14" t="s">
        <v>156</v>
      </c>
      <c r="B14" t="s">
        <v>157</v>
      </c>
      <c r="C14">
        <v>3509</v>
      </c>
      <c r="D14" t="s">
        <v>281</v>
      </c>
      <c r="E14" t="s">
        <v>76</v>
      </c>
      <c r="F14" t="s">
        <v>282</v>
      </c>
      <c r="G14" t="s">
        <v>87</v>
      </c>
      <c r="H14" t="s">
        <v>286</v>
      </c>
    </row>
    <row r="15" spans="1:8" x14ac:dyDescent="0.3">
      <c r="A15" t="s">
        <v>148</v>
      </c>
      <c r="B15" t="s">
        <v>88</v>
      </c>
      <c r="C15">
        <v>100814</v>
      </c>
      <c r="D15" t="s">
        <v>281</v>
      </c>
      <c r="E15" t="s">
        <v>68</v>
      </c>
      <c r="F15" t="s">
        <v>282</v>
      </c>
      <c r="G15" t="s">
        <v>108</v>
      </c>
      <c r="H15" t="s">
        <v>290</v>
      </c>
    </row>
    <row r="16" spans="1:8" x14ac:dyDescent="0.3">
      <c r="A16" t="s">
        <v>148</v>
      </c>
      <c r="B16" t="s">
        <v>88</v>
      </c>
      <c r="C16">
        <v>100814</v>
      </c>
      <c r="D16" t="s">
        <v>281</v>
      </c>
      <c r="E16" t="s">
        <v>63</v>
      </c>
      <c r="F16" t="s">
        <v>282</v>
      </c>
      <c r="G16" t="s">
        <v>108</v>
      </c>
      <c r="H16" t="s">
        <v>290</v>
      </c>
    </row>
    <row r="17" spans="1:8" x14ac:dyDescent="0.3">
      <c r="A17" t="s">
        <v>148</v>
      </c>
      <c r="B17" t="s">
        <v>88</v>
      </c>
      <c r="C17">
        <v>100814</v>
      </c>
      <c r="D17" t="s">
        <v>281</v>
      </c>
      <c r="E17" t="s">
        <v>84</v>
      </c>
      <c r="F17" t="s">
        <v>282</v>
      </c>
      <c r="G17" t="s">
        <v>108</v>
      </c>
      <c r="H17" t="s">
        <v>290</v>
      </c>
    </row>
    <row r="18" spans="1:8" x14ac:dyDescent="0.3">
      <c r="A18" t="s">
        <v>158</v>
      </c>
      <c r="B18" t="s">
        <v>159</v>
      </c>
      <c r="C18">
        <v>20074</v>
      </c>
      <c r="D18" t="s">
        <v>281</v>
      </c>
      <c r="E18" t="s">
        <v>64</v>
      </c>
      <c r="F18" t="s">
        <v>282</v>
      </c>
      <c r="G18" t="s">
        <v>107</v>
      </c>
      <c r="H18" t="s">
        <v>291</v>
      </c>
    </row>
    <row r="19" spans="1:8" x14ac:dyDescent="0.3">
      <c r="A19" t="s">
        <v>158</v>
      </c>
      <c r="B19" t="s">
        <v>159</v>
      </c>
      <c r="C19">
        <v>20074</v>
      </c>
      <c r="D19" t="s">
        <v>281</v>
      </c>
      <c r="E19" t="s">
        <v>136</v>
      </c>
      <c r="F19" t="s">
        <v>282</v>
      </c>
      <c r="G19" t="s">
        <v>107</v>
      </c>
      <c r="H19" t="s">
        <v>291</v>
      </c>
    </row>
    <row r="20" spans="1:8" x14ac:dyDescent="0.3">
      <c r="A20" t="s">
        <v>166</v>
      </c>
      <c r="B20" t="s">
        <v>167</v>
      </c>
      <c r="C20">
        <v>6477</v>
      </c>
      <c r="D20" t="s">
        <v>281</v>
      </c>
      <c r="E20" t="s">
        <v>40</v>
      </c>
      <c r="F20" t="s">
        <v>282</v>
      </c>
      <c r="G20" t="s">
        <v>87</v>
      </c>
      <c r="H20" t="s">
        <v>286</v>
      </c>
    </row>
    <row r="21" spans="1:8" x14ac:dyDescent="0.3">
      <c r="A21" t="s">
        <v>92</v>
      </c>
      <c r="B21" t="s">
        <v>133</v>
      </c>
      <c r="C21">
        <v>5027</v>
      </c>
      <c r="D21" t="s">
        <v>281</v>
      </c>
      <c r="E21" t="s">
        <v>64</v>
      </c>
      <c r="F21" t="s">
        <v>295</v>
      </c>
      <c r="G21" t="s">
        <v>73</v>
      </c>
      <c r="H21" t="s">
        <v>292</v>
      </c>
    </row>
    <row r="22" spans="1:8" x14ac:dyDescent="0.3">
      <c r="A22" t="s">
        <v>92</v>
      </c>
      <c r="B22" t="s">
        <v>133</v>
      </c>
      <c r="C22">
        <v>5027</v>
      </c>
      <c r="D22" t="s">
        <v>281</v>
      </c>
      <c r="E22" t="s">
        <v>136</v>
      </c>
      <c r="F22" t="s">
        <v>295</v>
      </c>
      <c r="G22" t="s">
        <v>73</v>
      </c>
      <c r="H22" t="s">
        <v>292</v>
      </c>
    </row>
    <row r="23" spans="1:8" x14ac:dyDescent="0.3">
      <c r="A23" t="s">
        <v>85</v>
      </c>
      <c r="B23" t="s">
        <v>170</v>
      </c>
      <c r="C23">
        <v>109352</v>
      </c>
      <c r="D23" t="s">
        <v>281</v>
      </c>
      <c r="E23" t="s">
        <v>84</v>
      </c>
      <c r="F23" t="s">
        <v>282</v>
      </c>
      <c r="G23" t="s">
        <v>83</v>
      </c>
      <c r="H23" t="s">
        <v>293</v>
      </c>
    </row>
    <row r="24" spans="1:8" x14ac:dyDescent="0.3">
      <c r="A24" t="s">
        <v>85</v>
      </c>
      <c r="B24" t="s">
        <v>170</v>
      </c>
      <c r="C24">
        <v>109352</v>
      </c>
      <c r="D24" t="s">
        <v>281</v>
      </c>
      <c r="E24" t="s">
        <v>63</v>
      </c>
      <c r="F24" t="s">
        <v>282</v>
      </c>
      <c r="G24" t="s">
        <v>83</v>
      </c>
      <c r="H24" t="s">
        <v>293</v>
      </c>
    </row>
    <row r="25" spans="1:8" x14ac:dyDescent="0.3">
      <c r="A25" t="s">
        <v>85</v>
      </c>
      <c r="B25" t="s">
        <v>170</v>
      </c>
      <c r="C25">
        <v>109352</v>
      </c>
      <c r="D25" t="s">
        <v>281</v>
      </c>
      <c r="E25" t="s">
        <v>68</v>
      </c>
      <c r="F25" t="s">
        <v>282</v>
      </c>
      <c r="G25" t="s">
        <v>83</v>
      </c>
      <c r="H25" t="s">
        <v>293</v>
      </c>
    </row>
    <row r="26" spans="1:8" x14ac:dyDescent="0.3">
      <c r="A26" t="s">
        <v>85</v>
      </c>
      <c r="B26" t="s">
        <v>170</v>
      </c>
      <c r="C26">
        <v>109352</v>
      </c>
      <c r="D26" t="s">
        <v>281</v>
      </c>
      <c r="E26" t="s">
        <v>84</v>
      </c>
      <c r="F26" t="s">
        <v>282</v>
      </c>
      <c r="G26" t="s">
        <v>107</v>
      </c>
      <c r="H26" t="s">
        <v>293</v>
      </c>
    </row>
    <row r="27" spans="1:8" x14ac:dyDescent="0.3">
      <c r="A27" t="s">
        <v>85</v>
      </c>
      <c r="B27" t="s">
        <v>170</v>
      </c>
      <c r="C27">
        <v>109352</v>
      </c>
      <c r="D27" t="s">
        <v>281</v>
      </c>
      <c r="E27" t="s">
        <v>63</v>
      </c>
      <c r="F27" t="s">
        <v>282</v>
      </c>
      <c r="G27" t="s">
        <v>107</v>
      </c>
      <c r="H27" t="s">
        <v>293</v>
      </c>
    </row>
    <row r="28" spans="1:8" x14ac:dyDescent="0.3">
      <c r="A28" t="s">
        <v>85</v>
      </c>
      <c r="B28" t="s">
        <v>170</v>
      </c>
      <c r="C28">
        <v>109352</v>
      </c>
      <c r="D28" t="s">
        <v>281</v>
      </c>
      <c r="E28" t="s">
        <v>68</v>
      </c>
      <c r="F28" t="s">
        <v>282</v>
      </c>
      <c r="G28" t="s">
        <v>107</v>
      </c>
      <c r="H28" t="s">
        <v>293</v>
      </c>
    </row>
    <row r="29" spans="1:8" x14ac:dyDescent="0.3">
      <c r="A29" t="s">
        <v>85</v>
      </c>
      <c r="B29" t="s">
        <v>170</v>
      </c>
      <c r="C29">
        <v>109352</v>
      </c>
      <c r="D29" t="s">
        <v>281</v>
      </c>
      <c r="E29" t="s">
        <v>84</v>
      </c>
      <c r="F29" t="s">
        <v>282</v>
      </c>
      <c r="G29" t="s">
        <v>39</v>
      </c>
      <c r="H29" t="s">
        <v>293</v>
      </c>
    </row>
    <row r="30" spans="1:8" x14ac:dyDescent="0.3">
      <c r="A30" t="s">
        <v>85</v>
      </c>
      <c r="B30" t="s">
        <v>170</v>
      </c>
      <c r="C30">
        <v>109352</v>
      </c>
      <c r="D30" t="s">
        <v>281</v>
      </c>
      <c r="E30" t="s">
        <v>63</v>
      </c>
      <c r="F30" t="s">
        <v>282</v>
      </c>
      <c r="G30" t="s">
        <v>39</v>
      </c>
      <c r="H30" t="s">
        <v>293</v>
      </c>
    </row>
    <row r="31" spans="1:8" x14ac:dyDescent="0.3">
      <c r="A31" t="s">
        <v>85</v>
      </c>
      <c r="B31" t="s">
        <v>170</v>
      </c>
      <c r="C31">
        <v>109352</v>
      </c>
      <c r="D31" t="s">
        <v>281</v>
      </c>
      <c r="E31" t="s">
        <v>68</v>
      </c>
      <c r="F31" t="s">
        <v>282</v>
      </c>
      <c r="G31" t="s">
        <v>39</v>
      </c>
      <c r="H31" t="s">
        <v>293</v>
      </c>
    </row>
    <row r="32" spans="1:8" x14ac:dyDescent="0.3">
      <c r="A32" t="s">
        <v>172</v>
      </c>
      <c r="B32" t="s">
        <v>173</v>
      </c>
      <c r="C32">
        <v>5082</v>
      </c>
      <c r="D32" t="s">
        <v>281</v>
      </c>
      <c r="E32" t="s">
        <v>64</v>
      </c>
      <c r="F32" t="s">
        <v>282</v>
      </c>
      <c r="G32" t="s">
        <v>32</v>
      </c>
      <c r="H32" t="s">
        <v>283</v>
      </c>
    </row>
    <row r="33" spans="1:8" x14ac:dyDescent="0.3">
      <c r="A33" t="s">
        <v>172</v>
      </c>
      <c r="B33" t="s">
        <v>173</v>
      </c>
      <c r="C33">
        <v>5082</v>
      </c>
      <c r="D33" t="s">
        <v>281</v>
      </c>
      <c r="E33" t="s">
        <v>136</v>
      </c>
      <c r="F33" t="s">
        <v>282</v>
      </c>
      <c r="G33" t="s">
        <v>32</v>
      </c>
      <c r="H33" t="s">
        <v>283</v>
      </c>
    </row>
    <row r="34" spans="1:8" x14ac:dyDescent="0.3">
      <c r="A34" t="s">
        <v>179</v>
      </c>
      <c r="B34" t="s">
        <v>130</v>
      </c>
      <c r="C34">
        <v>4639</v>
      </c>
      <c r="D34" t="s">
        <v>281</v>
      </c>
      <c r="E34" t="s">
        <v>64</v>
      </c>
      <c r="F34" t="s">
        <v>282</v>
      </c>
      <c r="G34" t="s">
        <v>69</v>
      </c>
      <c r="H34" t="s">
        <v>294</v>
      </c>
    </row>
    <row r="35" spans="1:8" x14ac:dyDescent="0.3">
      <c r="A35" t="s">
        <v>179</v>
      </c>
      <c r="B35" t="s">
        <v>130</v>
      </c>
      <c r="C35">
        <v>4639</v>
      </c>
      <c r="D35" t="s">
        <v>281</v>
      </c>
      <c r="E35" t="s">
        <v>136</v>
      </c>
      <c r="F35" t="s">
        <v>282</v>
      </c>
      <c r="G35" t="s">
        <v>69</v>
      </c>
      <c r="H35" t="s">
        <v>294</v>
      </c>
    </row>
    <row r="36" spans="1:8" x14ac:dyDescent="0.3">
      <c r="A36" t="s">
        <v>53</v>
      </c>
      <c r="B36" t="s">
        <v>199</v>
      </c>
      <c r="C36">
        <v>3865</v>
      </c>
      <c r="D36" t="s">
        <v>281</v>
      </c>
      <c r="E36" t="s">
        <v>76</v>
      </c>
      <c r="F36" t="s">
        <v>282</v>
      </c>
      <c r="G36" t="s">
        <v>83</v>
      </c>
      <c r="H36" t="s">
        <v>293</v>
      </c>
    </row>
    <row r="37" spans="1:8" x14ac:dyDescent="0.3">
      <c r="A37" t="s">
        <v>189</v>
      </c>
      <c r="B37" t="s">
        <v>117</v>
      </c>
      <c r="C37">
        <v>106215</v>
      </c>
      <c r="D37" t="s">
        <v>281</v>
      </c>
      <c r="E37" t="s">
        <v>40</v>
      </c>
      <c r="F37" t="s">
        <v>284</v>
      </c>
      <c r="G37" t="s">
        <v>110</v>
      </c>
      <c r="H37" t="s">
        <v>297</v>
      </c>
    </row>
    <row r="38" spans="1:8" x14ac:dyDescent="0.3">
      <c r="A38" t="s">
        <v>189</v>
      </c>
      <c r="B38" t="s">
        <v>117</v>
      </c>
      <c r="C38">
        <v>106215</v>
      </c>
      <c r="D38" t="s">
        <v>281</v>
      </c>
      <c r="E38" t="s">
        <v>40</v>
      </c>
      <c r="F38" t="s">
        <v>284</v>
      </c>
      <c r="G38" t="s">
        <v>83</v>
      </c>
      <c r="H38" t="s">
        <v>297</v>
      </c>
    </row>
    <row r="39" spans="1:8" x14ac:dyDescent="0.3">
      <c r="A39" t="s">
        <v>189</v>
      </c>
      <c r="B39" t="s">
        <v>117</v>
      </c>
      <c r="C39">
        <v>106215</v>
      </c>
      <c r="D39" t="s">
        <v>281</v>
      </c>
      <c r="E39" t="s">
        <v>40</v>
      </c>
      <c r="F39" t="s">
        <v>284</v>
      </c>
      <c r="G39" t="s">
        <v>39</v>
      </c>
      <c r="H39" t="s">
        <v>297</v>
      </c>
    </row>
    <row r="40" spans="1:8" x14ac:dyDescent="0.3">
      <c r="A40" t="s">
        <v>298</v>
      </c>
      <c r="B40" t="s">
        <v>299</v>
      </c>
      <c r="C40">
        <v>104218</v>
      </c>
      <c r="D40" t="s">
        <v>281</v>
      </c>
      <c r="E40" t="s">
        <v>68</v>
      </c>
      <c r="F40" t="s">
        <v>295</v>
      </c>
      <c r="G40" t="s">
        <v>73</v>
      </c>
      <c r="H40" t="s">
        <v>292</v>
      </c>
    </row>
    <row r="41" spans="1:8" x14ac:dyDescent="0.3">
      <c r="A41" t="s">
        <v>298</v>
      </c>
      <c r="B41" t="s">
        <v>299</v>
      </c>
      <c r="C41">
        <v>104218</v>
      </c>
      <c r="D41" t="s">
        <v>281</v>
      </c>
      <c r="E41" t="s">
        <v>63</v>
      </c>
      <c r="F41" t="s">
        <v>295</v>
      </c>
      <c r="G41" t="s">
        <v>73</v>
      </c>
      <c r="H41" t="s">
        <v>292</v>
      </c>
    </row>
    <row r="42" spans="1:8" x14ac:dyDescent="0.3">
      <c r="A42" t="s">
        <v>298</v>
      </c>
      <c r="B42" t="s">
        <v>299</v>
      </c>
      <c r="C42">
        <v>104218</v>
      </c>
      <c r="D42" t="s">
        <v>281</v>
      </c>
      <c r="E42" t="s">
        <v>84</v>
      </c>
      <c r="F42" t="s">
        <v>295</v>
      </c>
      <c r="G42" t="s">
        <v>73</v>
      </c>
      <c r="H42" t="s">
        <v>292</v>
      </c>
    </row>
    <row r="43" spans="1:8" x14ac:dyDescent="0.3">
      <c r="A43" t="s">
        <v>300</v>
      </c>
      <c r="B43" t="s">
        <v>118</v>
      </c>
      <c r="C43">
        <v>103853</v>
      </c>
      <c r="D43" t="s">
        <v>281</v>
      </c>
      <c r="E43" t="s">
        <v>63</v>
      </c>
      <c r="F43" t="s">
        <v>295</v>
      </c>
      <c r="G43" t="s">
        <v>69</v>
      </c>
      <c r="H43" t="s">
        <v>301</v>
      </c>
    </row>
    <row r="44" spans="1:8" x14ac:dyDescent="0.3">
      <c r="A44" t="s">
        <v>300</v>
      </c>
      <c r="B44" t="s">
        <v>118</v>
      </c>
      <c r="C44">
        <v>103853</v>
      </c>
      <c r="D44" t="s">
        <v>281</v>
      </c>
      <c r="E44" t="s">
        <v>84</v>
      </c>
      <c r="F44" t="s">
        <v>295</v>
      </c>
      <c r="G44" t="s">
        <v>69</v>
      </c>
      <c r="H44" t="s">
        <v>301</v>
      </c>
    </row>
    <row r="45" spans="1:8" x14ac:dyDescent="0.3">
      <c r="A45" t="s">
        <v>300</v>
      </c>
      <c r="B45" t="s">
        <v>118</v>
      </c>
      <c r="C45">
        <v>103853</v>
      </c>
      <c r="D45" t="s">
        <v>281</v>
      </c>
      <c r="E45" t="s">
        <v>68</v>
      </c>
      <c r="F45" t="s">
        <v>295</v>
      </c>
      <c r="G45" t="s">
        <v>69</v>
      </c>
      <c r="H45" t="s">
        <v>301</v>
      </c>
    </row>
    <row r="46" spans="1:8" x14ac:dyDescent="0.3">
      <c r="A46" t="s">
        <v>302</v>
      </c>
      <c r="B46" t="s">
        <v>303</v>
      </c>
      <c r="C46">
        <v>6924</v>
      </c>
      <c r="D46" t="s">
        <v>281</v>
      </c>
      <c r="E46" t="s">
        <v>64</v>
      </c>
      <c r="F46" t="s">
        <v>282</v>
      </c>
      <c r="G46" t="s">
        <v>39</v>
      </c>
      <c r="H46" t="s">
        <v>304</v>
      </c>
    </row>
    <row r="47" spans="1:8" x14ac:dyDescent="0.3">
      <c r="A47" t="s">
        <v>302</v>
      </c>
      <c r="B47" t="s">
        <v>303</v>
      </c>
      <c r="C47">
        <v>6924</v>
      </c>
      <c r="D47" t="s">
        <v>281</v>
      </c>
      <c r="E47" t="s">
        <v>136</v>
      </c>
      <c r="F47" t="s">
        <v>282</v>
      </c>
      <c r="G47" t="s">
        <v>39</v>
      </c>
      <c r="H47" t="s">
        <v>304</v>
      </c>
    </row>
    <row r="48" spans="1:8" x14ac:dyDescent="0.3">
      <c r="A48" t="s">
        <v>36</v>
      </c>
      <c r="B48" t="s">
        <v>113</v>
      </c>
      <c r="C48">
        <v>100527</v>
      </c>
      <c r="D48" t="s">
        <v>281</v>
      </c>
      <c r="E48" t="s">
        <v>76</v>
      </c>
      <c r="F48" t="s">
        <v>282</v>
      </c>
      <c r="G48" t="s">
        <v>39</v>
      </c>
      <c r="H48" t="s">
        <v>304</v>
      </c>
    </row>
    <row r="49" spans="1:8" x14ac:dyDescent="0.3">
      <c r="A49" t="s">
        <v>146</v>
      </c>
      <c r="B49" s="13" t="s">
        <v>308</v>
      </c>
      <c r="C49">
        <v>108198</v>
      </c>
      <c r="D49" t="s">
        <v>281</v>
      </c>
      <c r="E49" t="s">
        <v>76</v>
      </c>
      <c r="F49" t="s">
        <v>282</v>
      </c>
      <c r="G49" t="s">
        <v>108</v>
      </c>
      <c r="H49" t="s">
        <v>290</v>
      </c>
    </row>
    <row r="50" spans="1:8" x14ac:dyDescent="0.3">
      <c r="A50" t="s">
        <v>78</v>
      </c>
      <c r="B50" t="s">
        <v>196</v>
      </c>
      <c r="C50">
        <v>6430</v>
      </c>
      <c r="D50" t="s">
        <v>281</v>
      </c>
      <c r="E50" t="s">
        <v>40</v>
      </c>
      <c r="F50" t="s">
        <v>282</v>
      </c>
      <c r="G50" t="s">
        <v>107</v>
      </c>
      <c r="H50" t="s">
        <v>291</v>
      </c>
    </row>
    <row r="51" spans="1:8" x14ac:dyDescent="0.3">
      <c r="A51" t="s">
        <v>194</v>
      </c>
      <c r="B51" t="s">
        <v>195</v>
      </c>
      <c r="C51">
        <v>7161</v>
      </c>
      <c r="D51" t="s">
        <v>281</v>
      </c>
      <c r="E51" t="s">
        <v>64</v>
      </c>
      <c r="F51" t="s">
        <v>295</v>
      </c>
      <c r="G51" t="s">
        <v>83</v>
      </c>
      <c r="H51" t="s">
        <v>305</v>
      </c>
    </row>
    <row r="52" spans="1:8" x14ac:dyDescent="0.3">
      <c r="A52" t="s">
        <v>194</v>
      </c>
      <c r="B52" t="s">
        <v>195</v>
      </c>
      <c r="C52">
        <v>7161</v>
      </c>
      <c r="D52" t="s">
        <v>281</v>
      </c>
      <c r="E52" t="s">
        <v>136</v>
      </c>
      <c r="F52" t="s">
        <v>295</v>
      </c>
      <c r="G52" t="s">
        <v>83</v>
      </c>
      <c r="H52" t="s">
        <v>305</v>
      </c>
    </row>
    <row r="53" spans="1:8" x14ac:dyDescent="0.3">
      <c r="A53" t="s">
        <v>45</v>
      </c>
      <c r="B53" t="s">
        <v>215</v>
      </c>
      <c r="C53">
        <v>131504</v>
      </c>
      <c r="D53" t="s">
        <v>281</v>
      </c>
      <c r="E53" t="s">
        <v>68</v>
      </c>
      <c r="F53" t="s">
        <v>295</v>
      </c>
      <c r="G53" t="s">
        <v>109</v>
      </c>
      <c r="H53" t="s">
        <v>306</v>
      </c>
    </row>
    <row r="54" spans="1:8" x14ac:dyDescent="0.3">
      <c r="A54" t="s">
        <v>45</v>
      </c>
      <c r="B54" t="s">
        <v>215</v>
      </c>
      <c r="C54">
        <v>131504</v>
      </c>
      <c r="D54" t="s">
        <v>281</v>
      </c>
      <c r="E54" t="s">
        <v>63</v>
      </c>
      <c r="F54" t="s">
        <v>295</v>
      </c>
      <c r="G54" t="s">
        <v>109</v>
      </c>
      <c r="H54" t="s">
        <v>306</v>
      </c>
    </row>
    <row r="55" spans="1:8" x14ac:dyDescent="0.3">
      <c r="A55" t="s">
        <v>45</v>
      </c>
      <c r="B55" t="s">
        <v>215</v>
      </c>
      <c r="C55">
        <v>131504</v>
      </c>
      <c r="D55" t="s">
        <v>281</v>
      </c>
      <c r="E55" t="s">
        <v>84</v>
      </c>
      <c r="F55" t="s">
        <v>295</v>
      </c>
      <c r="G55" t="s">
        <v>109</v>
      </c>
      <c r="H55" t="s">
        <v>306</v>
      </c>
    </row>
    <row r="56" spans="1:8" x14ac:dyDescent="0.3">
      <c r="A56" t="s">
        <v>48</v>
      </c>
      <c r="B56" t="s">
        <v>135</v>
      </c>
      <c r="C56">
        <v>87</v>
      </c>
      <c r="D56" t="s">
        <v>281</v>
      </c>
      <c r="E56" t="s">
        <v>64</v>
      </c>
      <c r="F56" t="s">
        <v>284</v>
      </c>
      <c r="G56" t="s">
        <v>108</v>
      </c>
      <c r="H56" t="s">
        <v>307</v>
      </c>
    </row>
    <row r="57" spans="1:8" x14ac:dyDescent="0.3">
      <c r="A57" t="s">
        <v>48</v>
      </c>
      <c r="B57" t="s">
        <v>135</v>
      </c>
      <c r="C57">
        <v>87</v>
      </c>
      <c r="D57" t="s">
        <v>281</v>
      </c>
      <c r="E57" t="s">
        <v>136</v>
      </c>
      <c r="F57" t="s">
        <v>284</v>
      </c>
      <c r="G57" t="s">
        <v>108</v>
      </c>
      <c r="H57" t="s">
        <v>307</v>
      </c>
    </row>
    <row r="58" spans="1:8" x14ac:dyDescent="0.3">
      <c r="A58" t="s">
        <v>58</v>
      </c>
      <c r="B58" t="s">
        <v>116</v>
      </c>
      <c r="C58">
        <v>4005</v>
      </c>
      <c r="D58" t="s">
        <v>281</v>
      </c>
      <c r="E58" t="s">
        <v>40</v>
      </c>
      <c r="F58" t="s">
        <v>284</v>
      </c>
      <c r="G58" t="s">
        <v>108</v>
      </c>
      <c r="H58" t="s">
        <v>307</v>
      </c>
    </row>
    <row r="59" spans="1:8" x14ac:dyDescent="0.3">
      <c r="A59" t="s">
        <v>204</v>
      </c>
      <c r="B59" t="s">
        <v>205</v>
      </c>
      <c r="C59">
        <v>103525</v>
      </c>
      <c r="D59" t="s">
        <v>281</v>
      </c>
      <c r="E59" t="s">
        <v>40</v>
      </c>
      <c r="F59" t="s">
        <v>282</v>
      </c>
      <c r="G59" t="s">
        <v>73</v>
      </c>
      <c r="H59" t="s">
        <v>285</v>
      </c>
    </row>
    <row r="60" spans="1:8" x14ac:dyDescent="0.3">
      <c r="A60" t="s">
        <v>72</v>
      </c>
      <c r="B60" t="s">
        <v>120</v>
      </c>
      <c r="C60">
        <v>103371</v>
      </c>
      <c r="D60" t="s">
        <v>281</v>
      </c>
      <c r="E60" t="s">
        <v>76</v>
      </c>
      <c r="F60" t="s">
        <v>282</v>
      </c>
      <c r="G60" t="s">
        <v>107</v>
      </c>
      <c r="H60" t="s">
        <v>291</v>
      </c>
    </row>
    <row r="61" spans="1:8" x14ac:dyDescent="0.3">
      <c r="A61" t="s">
        <v>66</v>
      </c>
      <c r="B61" t="s">
        <v>80</v>
      </c>
      <c r="C61">
        <v>4257</v>
      </c>
      <c r="D61" t="s">
        <v>281</v>
      </c>
      <c r="E61" t="s">
        <v>40</v>
      </c>
      <c r="F61" t="s">
        <v>284</v>
      </c>
      <c r="G61" t="s">
        <v>69</v>
      </c>
      <c r="H61" t="s">
        <v>288</v>
      </c>
    </row>
  </sheetData>
  <autoFilter ref="A1:H61" xr:uid="{3AE69CC9-ECAB-47DA-BFB0-6EA8578F86D1}"/>
  <dataValidations count="6">
    <dataValidation showInputMessage="1" showErrorMessage="1" error=" " promptTitle="Lookup (required)" prompt="This Discipline record must already exist in Microsoft Dynamics 365 or in this source file." sqref="G2:G61" xr:uid="{128529EF-EE95-4A41-9EF9-99EA8C24594B}"/>
    <dataValidation showInputMessage="1" showErrorMessage="1" error=" " promptTitle="Lookup (required)" prompt="This Grade record must already exist in Microsoft Dynamics 365 or in this source file." sqref="F2:F61" xr:uid="{EF2B555E-D3D4-480D-BE8D-42D5110CD29C}"/>
    <dataValidation allowBlank="1" showInputMessage="1" showErrorMessage="1" error=" " promptTitle="Lookup" prompt="This Current BU record must already exist in Microsoft Dynamics 365 or in this source file." sqref="E2:E61" xr:uid="{B4535017-D9E0-4CE0-AA21-1A645BFD1A5A}"/>
    <dataValidation allowBlank="1" showInputMessage="1" showErrorMessage="1" error=" " promptTitle="Lookup" prompt="This Region/Sector record must already exist in Microsoft Dynamics 365 or in this source file." sqref="D2:D61" xr:uid="{8F89C6FF-7FDB-41D8-883C-60968B11F28E}"/>
    <dataValidation type="textLength" operator="lessThanOrEqual" allowBlank="1" showInputMessage="1" showErrorMessage="1" errorTitle="Length Exceeded" error="This value must be less than or equal to 100 characters long." promptTitle="Text" prompt="Maximum Length: 100 characters." sqref="H2:H61 B2:C61" xr:uid="{1BC7EA36-8AD5-40B0-B3BE-A4CFD6560EDC}">
      <formula1>100</formula1>
    </dataValidation>
    <dataValidation type="textLength" operator="lessThanOrEqual" allowBlank="1" showInputMessage="1" showErrorMessage="1" errorTitle="Length Exceeded" error="This value must be less than or equal to 200 characters long." promptTitle="Text" prompt="Maximum Length: 200 characters." sqref="A2:A61" xr:uid="{DA60E930-1709-4957-ADEF-ED28A6B3B767}">
      <formula1>200</formula1>
    </dataValidation>
  </dataValidations>
  <hyperlinks>
    <hyperlink ref="B49" r:id="rId1" xr:uid="{381D3ED1-3AB7-4CFE-B2E7-E5B6E62A952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88cadd-8135-4a0d-83ac-83bd162781c5" xsi:nil="true"/>
    <lcf76f155ced4ddcb4097134ff3c332f xmlns="d4b3ddf4-18f2-4c46-b87e-cbfc0df5a26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E962FAE933545448E2776BFEBE6795E" ma:contentTypeVersion="15" ma:contentTypeDescription="Create a new document." ma:contentTypeScope="" ma:versionID="773afc682c98db73be931dbc38775246">
  <xsd:schema xmlns:xsd="http://www.w3.org/2001/XMLSchema" xmlns:xs="http://www.w3.org/2001/XMLSchema" xmlns:p="http://schemas.microsoft.com/office/2006/metadata/properties" xmlns:ns2="d4b3ddf4-18f2-4c46-b87e-cbfc0df5a266" xmlns:ns3="5d88cadd-8135-4a0d-83ac-83bd162781c5" targetNamespace="http://schemas.microsoft.com/office/2006/metadata/properties" ma:root="true" ma:fieldsID="18866e2e87029816925a0481185641ea" ns2:_="" ns3:_="">
    <xsd:import namespace="d4b3ddf4-18f2-4c46-b87e-cbfc0df5a266"/>
    <xsd:import namespace="5d88cadd-8135-4a0d-83ac-83bd162781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b3ddf4-18f2-4c46-b87e-cbfc0df5a2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da9fbb2-20ec-4b38-b475-624b7129167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88cadd-8135-4a0d-83ac-83bd162781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476c201-5126-4e3d-9bad-4afbd721caa1}" ma:internalName="TaxCatchAll" ma:showField="CatchAllData" ma:web="5d88cadd-8135-4a0d-83ac-83bd162781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5121944-9E30-434D-BFE3-DB4677384A69}">
  <ds:schemaRefs>
    <ds:schemaRef ds:uri="http://schemas.microsoft.com/sharepoint/v3/contenttype/forms"/>
  </ds:schemaRefs>
</ds:datastoreItem>
</file>

<file path=customXml/itemProps2.xml><?xml version="1.0" encoding="utf-8"?>
<ds:datastoreItem xmlns:ds="http://schemas.openxmlformats.org/officeDocument/2006/customXml" ds:itemID="{B4151E49-DCC3-498D-96C5-EC9E1CFDC9F8}">
  <ds:schemaRefs>
    <ds:schemaRef ds:uri="http://schemas.microsoft.com/office/infopath/2007/PartnerControls"/>
    <ds:schemaRef ds:uri="5d88cadd-8135-4a0d-83ac-83bd162781c5"/>
    <ds:schemaRef ds:uri="http://purl.org/dc/elements/1.1/"/>
    <ds:schemaRef ds:uri="http://purl.org/dc/terms/"/>
    <ds:schemaRef ds:uri="http://schemas.microsoft.com/office/2006/metadata/properties"/>
    <ds:schemaRef ds:uri="d4b3ddf4-18f2-4c46-b87e-cbfc0df5a266"/>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026C81E7-2E9C-484E-94F4-C1CAC76E6D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b3ddf4-18f2-4c46-b87e-cbfc0df5a266"/>
    <ds:schemaRef ds:uri="5d88cadd-8135-4a0d-83ac-83bd162781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E7CB87C-1E32-4410-8959-916DB6F54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Proposals</vt:lpstr>
      <vt:lpstr>Profile links</vt:lpstr>
      <vt:lpstr>HoDs Matrix</vt:lpstr>
      <vt:lpstr>OBPs</vt:lpstr>
      <vt:lpstr>Drop downs</vt:lpstr>
      <vt:lpstr>Active People Report</vt:lpstr>
      <vt:lpstr>HoDs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Cristina Marin</dc:creator>
  <cp:keywords/>
  <dc:description/>
  <cp:lastModifiedBy>Cristina Marin</cp:lastModifiedBy>
  <cp:revision/>
  <dcterms:created xsi:type="dcterms:W3CDTF">2024-03-21T10:34:15Z</dcterms:created>
  <dcterms:modified xsi:type="dcterms:W3CDTF">2025-10-03T15:46:26Z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0x010100AE962FAE933545448E2776BFEBE6795E</vt:lpwstr>
  </property>
  <property fmtid="{D5CDD505-2E9C-101B-9397-08002B2CF9AE}" pid="5" name="MediaServiceImageTags">
    <vt:lpwstr/>
  </property>
</Properties>
</file>